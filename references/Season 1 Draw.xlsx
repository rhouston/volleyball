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hugg6\Desktop\Volleyball Convenor 2026\Season 1\"/>
    </mc:Choice>
  </mc:AlternateContent>
  <xr:revisionPtr revIDLastSave="0" documentId="13_ncr:1_{304B0513-D96E-4C9F-A618-6EB0E34B5DC8}" xr6:coauthVersionLast="47" xr6:coauthVersionMax="47" xr10:uidLastSave="{00000000-0000-0000-0000-000000000000}"/>
  <bookViews>
    <workbookView xWindow="-108" yWindow="-108" windowWidth="23256" windowHeight="12456" activeTab="2" xr2:uid="{C874B2BA-2FCA-4F04-834A-03D402084C57}"/>
  </bookViews>
  <sheets>
    <sheet name="Mixed 2026 Season 1" sheetId="8" r:id="rId1"/>
    <sheet name="Ladies 2026 Season 1" sheetId="5" r:id="rId2"/>
    <sheet name="Ladder" sheetId="11" r:id="rId3"/>
    <sheet name="Best and Fairest" sheetId="12" r:id="rId4"/>
    <sheet name="2 x 8 team grades" sheetId="2" r:id="rId5"/>
    <sheet name="18 team set up" sheetId="4" r:id="rId6"/>
    <sheet name="Ladies 6 draw" sheetId="7" r:id="rId7"/>
    <sheet name="Mixed to print" sheetId="9" r:id="rId8"/>
    <sheet name="Ladies to prin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1" i="11" l="1"/>
  <c r="R83" i="11"/>
  <c r="R82" i="11"/>
  <c r="P81" i="11" a="1"/>
  <c r="P81" i="11" s="1"/>
  <c r="O81" i="11" a="1"/>
  <c r="O81" i="11" s="1"/>
  <c r="N81" i="11" a="1"/>
  <c r="N81" i="11" s="1"/>
  <c r="M81" i="11" a="1"/>
  <c r="M81" i="11" s="1"/>
  <c r="L81" i="11" a="1"/>
  <c r="L81" i="11" s="1"/>
  <c r="K81" i="11" a="1"/>
  <c r="K81" i="11" s="1"/>
  <c r="J81" i="11" a="1"/>
  <c r="J81" i="11" s="1"/>
  <c r="I81" i="11" a="1"/>
  <c r="I81" i="11" s="1"/>
  <c r="H81" i="11" a="1"/>
  <c r="H81" i="11" s="1"/>
  <c r="G81" i="11" a="1"/>
  <c r="G81" i="11" s="1"/>
  <c r="F81" i="11" a="1"/>
  <c r="F81" i="11" s="1"/>
  <c r="E81" i="11" a="1"/>
  <c r="E81" i="11" s="1"/>
  <c r="D81" i="11" a="1"/>
  <c r="D81" i="11" s="1"/>
  <c r="C81" i="11" a="1"/>
  <c r="C81" i="11" s="1"/>
  <c r="R80" i="11"/>
  <c r="R79" i="11"/>
  <c r="P78" i="11" a="1"/>
  <c r="P78" i="11" s="1"/>
  <c r="O78" i="11" a="1"/>
  <c r="O78" i="11" s="1"/>
  <c r="N78" i="11" a="1"/>
  <c r="N78" i="11" s="1"/>
  <c r="M78" i="11" a="1"/>
  <c r="M78" i="11" s="1"/>
  <c r="L78" i="11" a="1"/>
  <c r="L78" i="11" s="1"/>
  <c r="K78" i="11" a="1"/>
  <c r="K78" i="11" s="1"/>
  <c r="J78" i="11" a="1"/>
  <c r="J78" i="11" s="1"/>
  <c r="I78" i="11" a="1"/>
  <c r="I78" i="11" s="1"/>
  <c r="H78" i="11" a="1"/>
  <c r="H78" i="11" s="1"/>
  <c r="G78" i="11" a="1"/>
  <c r="G78" i="11" s="1"/>
  <c r="F78" i="11" a="1"/>
  <c r="F78" i="11" s="1"/>
  <c r="E78" i="11" a="1"/>
  <c r="E78" i="11" s="1"/>
  <c r="D78" i="11" a="1"/>
  <c r="D78" i="11" s="1"/>
  <c r="C78" i="11" a="1"/>
  <c r="C78" i="11" s="1"/>
  <c r="R77" i="11"/>
  <c r="R76" i="11"/>
  <c r="Q77" i="11" s="1"/>
  <c r="P75" i="11" a="1"/>
  <c r="P75" i="11" s="1"/>
  <c r="O75" i="11" a="1"/>
  <c r="O75" i="11" s="1"/>
  <c r="N75" i="11" a="1"/>
  <c r="N75" i="11" s="1"/>
  <c r="M75" i="11" a="1"/>
  <c r="M75" i="11" s="1"/>
  <c r="L75" i="11" a="1"/>
  <c r="L75" i="11" s="1"/>
  <c r="K75" i="11" a="1"/>
  <c r="K75" i="11" s="1"/>
  <c r="J75" i="11" a="1"/>
  <c r="J75" i="11" s="1"/>
  <c r="I75" i="11" a="1"/>
  <c r="I75" i="11" s="1"/>
  <c r="H75" i="11" a="1"/>
  <c r="H75" i="11" s="1"/>
  <c r="G75" i="11" a="1"/>
  <c r="G75" i="11" s="1"/>
  <c r="F75" i="11" a="1"/>
  <c r="F75" i="11" s="1"/>
  <c r="E75" i="11" a="1"/>
  <c r="E75" i="11" s="1"/>
  <c r="D75" i="11" a="1"/>
  <c r="D75" i="11" s="1"/>
  <c r="C75" i="11" a="1"/>
  <c r="C75" i="11" s="1"/>
  <c r="R74" i="11"/>
  <c r="R73" i="11"/>
  <c r="Q74" i="11" s="1"/>
  <c r="P72" i="11" a="1"/>
  <c r="P72" i="11" s="1"/>
  <c r="O72" i="11" a="1"/>
  <c r="O72" i="11" s="1"/>
  <c r="N72" i="11" a="1"/>
  <c r="N72" i="11" s="1"/>
  <c r="M72" i="11" a="1"/>
  <c r="M72" i="11" s="1"/>
  <c r="L72" i="11" a="1"/>
  <c r="L72" i="11" s="1"/>
  <c r="K72" i="11" a="1"/>
  <c r="K72" i="11" s="1"/>
  <c r="J72" i="11" a="1"/>
  <c r="J72" i="11" s="1"/>
  <c r="I72" i="11" a="1"/>
  <c r="I72" i="11" s="1"/>
  <c r="H72" i="11" a="1"/>
  <c r="H72" i="11" s="1"/>
  <c r="G72" i="11" a="1"/>
  <c r="G72" i="11" s="1"/>
  <c r="F72" i="11" a="1"/>
  <c r="F72" i="11" s="1"/>
  <c r="E72" i="11" a="1"/>
  <c r="E72" i="11" s="1"/>
  <c r="D72" i="11" a="1"/>
  <c r="D72" i="11" s="1"/>
  <c r="C72" i="11" a="1"/>
  <c r="C72" i="11" s="1"/>
  <c r="R71" i="11"/>
  <c r="R70" i="11"/>
  <c r="Q71" i="11" s="1"/>
  <c r="P69" i="11" a="1"/>
  <c r="P69" i="11" s="1"/>
  <c r="O69" i="11" a="1"/>
  <c r="O69" i="11" s="1"/>
  <c r="N69" i="11" a="1"/>
  <c r="N69" i="11" s="1"/>
  <c r="M69" i="11" a="1"/>
  <c r="M69" i="11" s="1"/>
  <c r="L69" i="11" a="1"/>
  <c r="L69" i="11" s="1"/>
  <c r="K69" i="11" a="1"/>
  <c r="K69" i="11" s="1"/>
  <c r="J69" i="11" a="1"/>
  <c r="J69" i="11" s="1"/>
  <c r="I69" i="11" a="1"/>
  <c r="I69" i="11" s="1"/>
  <c r="H69" i="11" a="1"/>
  <c r="H69" i="11" s="1"/>
  <c r="G69" i="11" a="1"/>
  <c r="G69" i="11" s="1"/>
  <c r="F69" i="11" a="1"/>
  <c r="F69" i="11" s="1"/>
  <c r="E69" i="11" a="1"/>
  <c r="E69" i="11" s="1"/>
  <c r="D69" i="11" a="1"/>
  <c r="D69" i="11" s="1"/>
  <c r="C69" i="11" a="1"/>
  <c r="C69" i="11" s="1"/>
  <c r="R68" i="11"/>
  <c r="R67" i="11"/>
  <c r="Q68" i="11" s="1"/>
  <c r="P66" i="11" a="1"/>
  <c r="P66" i="11" s="1"/>
  <c r="O66" i="11" a="1"/>
  <c r="O66" i="11" s="1"/>
  <c r="N66" i="11" a="1"/>
  <c r="N66" i="11" s="1"/>
  <c r="M66" i="11" a="1"/>
  <c r="M66" i="11" s="1"/>
  <c r="L66" i="11" a="1"/>
  <c r="L66" i="11" s="1"/>
  <c r="K66" i="11" a="1"/>
  <c r="K66" i="11" s="1"/>
  <c r="J66" i="11" a="1"/>
  <c r="J66" i="11" s="1"/>
  <c r="I66" i="11" a="1"/>
  <c r="I66" i="11" s="1"/>
  <c r="H66" i="11" a="1"/>
  <c r="H66" i="11" s="1"/>
  <c r="G66" i="11" a="1"/>
  <c r="G66" i="11" s="1"/>
  <c r="F66" i="11" a="1"/>
  <c r="F66" i="11" s="1"/>
  <c r="E66" i="11" a="1"/>
  <c r="E66" i="11" s="1"/>
  <c r="D66" i="11" a="1"/>
  <c r="D66" i="11" s="1"/>
  <c r="C66" i="11" a="1"/>
  <c r="C66" i="11" s="1"/>
  <c r="R65" i="11"/>
  <c r="R64" i="11"/>
  <c r="Q65" i="11" s="1"/>
  <c r="P63" i="11" a="1"/>
  <c r="P63" i="11" s="1"/>
  <c r="O63" i="11" a="1"/>
  <c r="O63" i="11" s="1"/>
  <c r="N63" i="11" a="1"/>
  <c r="N63" i="11" s="1"/>
  <c r="M63" i="11" a="1"/>
  <c r="M63" i="11" s="1"/>
  <c r="L63" i="11" a="1"/>
  <c r="L63" i="11" s="1"/>
  <c r="K63" i="11" a="1"/>
  <c r="K63" i="11" s="1"/>
  <c r="J63" i="11" a="1"/>
  <c r="J63" i="11" s="1"/>
  <c r="I63" i="11" a="1"/>
  <c r="I63" i="11" s="1"/>
  <c r="H63" i="11" a="1"/>
  <c r="H63" i="11" s="1"/>
  <c r="G63" i="11" a="1"/>
  <c r="G63" i="11" s="1"/>
  <c r="F63" i="11" a="1"/>
  <c r="F63" i="11" s="1"/>
  <c r="E63" i="11" a="1"/>
  <c r="E63" i="11" s="1"/>
  <c r="D63" i="11" a="1"/>
  <c r="D63" i="11" s="1"/>
  <c r="C63" i="11" a="1"/>
  <c r="C63" i="11" s="1"/>
  <c r="R62" i="11"/>
  <c r="P60" i="11" a="1"/>
  <c r="P60" i="11" s="1"/>
  <c r="O60" i="11" a="1"/>
  <c r="O60" i="11" s="1"/>
  <c r="N60" i="11" a="1"/>
  <c r="N60" i="11" s="1"/>
  <c r="M60" i="11" a="1"/>
  <c r="M60" i="11" s="1"/>
  <c r="L60" i="11" a="1"/>
  <c r="L60" i="11" s="1"/>
  <c r="K60" i="11" a="1"/>
  <c r="K60" i="11" s="1"/>
  <c r="J60" i="11" a="1"/>
  <c r="J60" i="11" s="1"/>
  <c r="I60" i="11" a="1"/>
  <c r="I60" i="11" s="1"/>
  <c r="H60" i="11" a="1"/>
  <c r="H60" i="11" s="1"/>
  <c r="G60" i="11" a="1"/>
  <c r="G60" i="11" s="1"/>
  <c r="F60" i="11" a="1"/>
  <c r="F60" i="11" s="1"/>
  <c r="E60" i="11" a="1"/>
  <c r="E60" i="11" s="1"/>
  <c r="D60" i="11" a="1"/>
  <c r="D60" i="11" s="1"/>
  <c r="C60" i="11" a="1"/>
  <c r="C60" i="11" s="1"/>
  <c r="R55" i="11"/>
  <c r="R54" i="11"/>
  <c r="P53" i="11" a="1"/>
  <c r="P53" i="11" s="1"/>
  <c r="O53" i="11" a="1"/>
  <c r="O53" i="11" s="1"/>
  <c r="N53" i="11" a="1"/>
  <c r="N53" i="11" s="1"/>
  <c r="M53" i="11" a="1"/>
  <c r="M53" i="11" s="1"/>
  <c r="L53" i="11" a="1"/>
  <c r="L53" i="11" s="1"/>
  <c r="K53" i="11" a="1"/>
  <c r="K53" i="11" s="1"/>
  <c r="J53" i="11" a="1"/>
  <c r="J53" i="11" s="1"/>
  <c r="I53" i="11" a="1"/>
  <c r="I53" i="11" s="1"/>
  <c r="H53" i="11" a="1"/>
  <c r="H53" i="11" s="1"/>
  <c r="G53" i="11" a="1"/>
  <c r="G53" i="11" s="1"/>
  <c r="F53" i="11" a="1"/>
  <c r="F53" i="11" s="1"/>
  <c r="E53" i="11" a="1"/>
  <c r="E53" i="11" s="1"/>
  <c r="D53" i="11" a="1"/>
  <c r="D53" i="11" s="1"/>
  <c r="C53" i="11" a="1"/>
  <c r="C53" i="11" s="1"/>
  <c r="R52" i="11"/>
  <c r="R51" i="11"/>
  <c r="P50" i="11" a="1"/>
  <c r="P50" i="11" s="1"/>
  <c r="O50" i="11" a="1"/>
  <c r="O50" i="11" s="1"/>
  <c r="N50" i="11" a="1"/>
  <c r="N50" i="11" s="1"/>
  <c r="M50" i="11" a="1"/>
  <c r="M50" i="11" s="1"/>
  <c r="L50" i="11" a="1"/>
  <c r="L50" i="11" s="1"/>
  <c r="K50" i="11" a="1"/>
  <c r="K50" i="11" s="1"/>
  <c r="J50" i="11" a="1"/>
  <c r="J50" i="11" s="1"/>
  <c r="I50" i="11" a="1"/>
  <c r="I50" i="11" s="1"/>
  <c r="H50" i="11" a="1"/>
  <c r="H50" i="11" s="1"/>
  <c r="G50" i="11" a="1"/>
  <c r="G50" i="11" s="1"/>
  <c r="F50" i="11" a="1"/>
  <c r="F50" i="11" s="1"/>
  <c r="E50" i="11" a="1"/>
  <c r="E50" i="11" s="1"/>
  <c r="D50" i="11" a="1"/>
  <c r="D50" i="11" s="1"/>
  <c r="C50" i="11" a="1"/>
  <c r="C50" i="11" s="1"/>
  <c r="R49" i="11"/>
  <c r="R48" i="11"/>
  <c r="P47" i="11" a="1"/>
  <c r="P47" i="11" s="1"/>
  <c r="O47" i="11" a="1"/>
  <c r="O47" i="11" s="1"/>
  <c r="N47" i="11" a="1"/>
  <c r="N47" i="11" s="1"/>
  <c r="M47" i="11" a="1"/>
  <c r="M47" i="11" s="1"/>
  <c r="L47" i="11" a="1"/>
  <c r="L47" i="11" s="1"/>
  <c r="K47" i="11" a="1"/>
  <c r="K47" i="11" s="1"/>
  <c r="J47" i="11" a="1"/>
  <c r="J47" i="11" s="1"/>
  <c r="I47" i="11" a="1"/>
  <c r="I47" i="11" s="1"/>
  <c r="H47" i="11" a="1"/>
  <c r="H47" i="11" s="1"/>
  <c r="G47" i="11" a="1"/>
  <c r="G47" i="11" s="1"/>
  <c r="F47" i="11" a="1"/>
  <c r="F47" i="11" s="1"/>
  <c r="E47" i="11" a="1"/>
  <c r="E47" i="11" s="1"/>
  <c r="D47" i="11" a="1"/>
  <c r="D47" i="11" s="1"/>
  <c r="C47" i="11" a="1"/>
  <c r="C47" i="11" s="1"/>
  <c r="R46" i="11"/>
  <c r="R45" i="11"/>
  <c r="Q46" i="11" s="1"/>
  <c r="P44" i="11" a="1"/>
  <c r="P44" i="11" s="1"/>
  <c r="O44" i="11" a="1"/>
  <c r="O44" i="11" s="1"/>
  <c r="N44" i="11" a="1"/>
  <c r="N44" i="11" s="1"/>
  <c r="M44" i="11" a="1"/>
  <c r="M44" i="11" s="1"/>
  <c r="L44" i="11" a="1"/>
  <c r="L44" i="11" s="1"/>
  <c r="K44" i="11" a="1"/>
  <c r="K44" i="11" s="1"/>
  <c r="J44" i="11" a="1"/>
  <c r="J44" i="11" s="1"/>
  <c r="I44" i="11" a="1"/>
  <c r="I44" i="11" s="1"/>
  <c r="H44" i="11" a="1"/>
  <c r="H44" i="11" s="1"/>
  <c r="G44" i="11" a="1"/>
  <c r="G44" i="11" s="1"/>
  <c r="F44" i="11" a="1"/>
  <c r="F44" i="11" s="1"/>
  <c r="E44" i="11" a="1"/>
  <c r="E44" i="11" s="1"/>
  <c r="D44" i="11" a="1"/>
  <c r="D44" i="11" s="1"/>
  <c r="C44" i="11" a="1"/>
  <c r="C44" i="11" s="1"/>
  <c r="R43" i="11"/>
  <c r="R42" i="11"/>
  <c r="P41" i="11" a="1"/>
  <c r="P41" i="11" s="1"/>
  <c r="O41" i="11" a="1"/>
  <c r="O41" i="11" s="1"/>
  <c r="N41" i="11" a="1"/>
  <c r="N41" i="11" s="1"/>
  <c r="M41" i="11" a="1"/>
  <c r="M41" i="11" s="1"/>
  <c r="L41" i="11" a="1"/>
  <c r="L41" i="11" s="1"/>
  <c r="K41" i="11" a="1"/>
  <c r="K41" i="11" s="1"/>
  <c r="J41" i="11" a="1"/>
  <c r="J41" i="11" s="1"/>
  <c r="I41" i="11" a="1"/>
  <c r="I41" i="11" s="1"/>
  <c r="H41" i="11" a="1"/>
  <c r="H41" i="11" s="1"/>
  <c r="G41" i="11" a="1"/>
  <c r="G41" i="11" s="1"/>
  <c r="F41" i="11" a="1"/>
  <c r="F41" i="11" s="1"/>
  <c r="E41" i="11" a="1"/>
  <c r="E41" i="11" s="1"/>
  <c r="D41" i="11" a="1"/>
  <c r="D41" i="11" s="1"/>
  <c r="C41" i="11" a="1"/>
  <c r="C41" i="11" s="1"/>
  <c r="R40" i="11"/>
  <c r="R39" i="11"/>
  <c r="P38" i="11" a="1"/>
  <c r="P38" i="11" s="1"/>
  <c r="O38" i="11" a="1"/>
  <c r="O38" i="11" s="1"/>
  <c r="N38" i="11" a="1"/>
  <c r="N38" i="11" s="1"/>
  <c r="M38" i="11" a="1"/>
  <c r="M38" i="11" s="1"/>
  <c r="L38" i="11" a="1"/>
  <c r="L38" i="11" s="1"/>
  <c r="K38" i="11" a="1"/>
  <c r="K38" i="11" s="1"/>
  <c r="J38" i="11" a="1"/>
  <c r="J38" i="11" s="1"/>
  <c r="I38" i="11" a="1"/>
  <c r="I38" i="11" s="1"/>
  <c r="H38" i="11" a="1"/>
  <c r="H38" i="11" s="1"/>
  <c r="G38" i="11" a="1"/>
  <c r="G38" i="11" s="1"/>
  <c r="F38" i="11" a="1"/>
  <c r="F38" i="11" s="1"/>
  <c r="E38" i="11" a="1"/>
  <c r="E38" i="11" s="1"/>
  <c r="D38" i="11" a="1"/>
  <c r="D38" i="11" s="1"/>
  <c r="C38" i="11" a="1"/>
  <c r="C38" i="11" s="1"/>
  <c r="R37" i="11"/>
  <c r="R36" i="11"/>
  <c r="P35" i="11" a="1"/>
  <c r="P35" i="11" s="1"/>
  <c r="O35" i="11" a="1"/>
  <c r="O35" i="11" s="1"/>
  <c r="N35" i="11" a="1"/>
  <c r="N35" i="11" s="1"/>
  <c r="M35" i="11" a="1"/>
  <c r="M35" i="11" s="1"/>
  <c r="L35" i="11" a="1"/>
  <c r="L35" i="11" s="1"/>
  <c r="K35" i="11" a="1"/>
  <c r="K35" i="11" s="1"/>
  <c r="J35" i="11" a="1"/>
  <c r="J35" i="11" s="1"/>
  <c r="I35" i="11" a="1"/>
  <c r="I35" i="11" s="1"/>
  <c r="H35" i="11" a="1"/>
  <c r="H35" i="11" s="1"/>
  <c r="G35" i="11" a="1"/>
  <c r="G35" i="11" s="1"/>
  <c r="F35" i="11" a="1"/>
  <c r="F35" i="11" s="1"/>
  <c r="E35" i="11" a="1"/>
  <c r="E35" i="11" s="1"/>
  <c r="D35" i="11" a="1"/>
  <c r="D35" i="11" s="1"/>
  <c r="C35" i="11" a="1"/>
  <c r="C35" i="11" s="1"/>
  <c r="R34" i="11"/>
  <c r="R33" i="11"/>
  <c r="Q34" i="11" s="1"/>
  <c r="P32" i="11" a="1"/>
  <c r="P32" i="11" s="1"/>
  <c r="O32" i="11" a="1"/>
  <c r="O32" i="11" s="1"/>
  <c r="N32" i="11" a="1"/>
  <c r="N32" i="11" s="1"/>
  <c r="M32" i="11" a="1"/>
  <c r="M32" i="11" s="1"/>
  <c r="L32" i="11" a="1"/>
  <c r="L32" i="11" s="1"/>
  <c r="K32" i="11" a="1"/>
  <c r="K32" i="11" s="1"/>
  <c r="J32" i="11" a="1"/>
  <c r="J32" i="11" s="1"/>
  <c r="I32" i="11" a="1"/>
  <c r="I32" i="11" s="1"/>
  <c r="H32" i="11" a="1"/>
  <c r="H32" i="11" s="1"/>
  <c r="G32" i="11" a="1"/>
  <c r="G32" i="11" s="1"/>
  <c r="F32" i="11" a="1"/>
  <c r="F32" i="11" s="1"/>
  <c r="E32" i="11" a="1"/>
  <c r="E32" i="11" s="1"/>
  <c r="D32" i="11" a="1"/>
  <c r="D32" i="11" s="1"/>
  <c r="C32" i="11" a="1"/>
  <c r="C32" i="11" s="1"/>
  <c r="P26" i="11" a="1"/>
  <c r="P26" i="11" s="1"/>
  <c r="O26" i="11" a="1"/>
  <c r="O26" i="11" s="1"/>
  <c r="N26" i="11" a="1"/>
  <c r="N26" i="11" s="1"/>
  <c r="M26" i="11" a="1"/>
  <c r="M26" i="11" s="1"/>
  <c r="L26" i="11" a="1"/>
  <c r="L26" i="11" s="1"/>
  <c r="K26" i="11" a="1"/>
  <c r="K26" i="11" s="1"/>
  <c r="J26" i="11" a="1"/>
  <c r="J26" i="11" s="1"/>
  <c r="I26" i="11" a="1"/>
  <c r="I26" i="11" s="1"/>
  <c r="H26" i="11" a="1"/>
  <c r="H26" i="11" s="1"/>
  <c r="G26" i="11" a="1"/>
  <c r="G26" i="11" s="1"/>
  <c r="F26" i="11" a="1"/>
  <c r="F26" i="11" s="1"/>
  <c r="E26" i="11" a="1"/>
  <c r="E26" i="11" s="1"/>
  <c r="D26" i="11" a="1"/>
  <c r="D26" i="11" s="1"/>
  <c r="C26" i="11" a="1"/>
  <c r="C26" i="11" s="1"/>
  <c r="P23" i="11" a="1"/>
  <c r="P23" i="11" s="1"/>
  <c r="O23" i="11" a="1"/>
  <c r="O23" i="11" s="1"/>
  <c r="N23" i="11" a="1"/>
  <c r="N23" i="11" s="1"/>
  <c r="M23" i="11" a="1"/>
  <c r="M23" i="11" s="1"/>
  <c r="L23" i="11" a="1"/>
  <c r="L23" i="11" s="1"/>
  <c r="K23" i="11" a="1"/>
  <c r="K23" i="11" s="1"/>
  <c r="J23" i="11" a="1"/>
  <c r="J23" i="11" s="1"/>
  <c r="I23" i="11" a="1"/>
  <c r="I23" i="11" s="1"/>
  <c r="H23" i="11" a="1"/>
  <c r="H23" i="11" s="1"/>
  <c r="G23" i="11" a="1"/>
  <c r="G23" i="11" s="1"/>
  <c r="F23" i="11" a="1"/>
  <c r="F23" i="11" s="1"/>
  <c r="E23" i="11" a="1"/>
  <c r="E23" i="11" s="1"/>
  <c r="D23" i="11" a="1"/>
  <c r="D23" i="11" s="1"/>
  <c r="C23" i="11" a="1"/>
  <c r="C23" i="11" s="1"/>
  <c r="P20" i="11" a="1"/>
  <c r="P20" i="11" s="1"/>
  <c r="O20" i="11" a="1"/>
  <c r="O20" i="11" s="1"/>
  <c r="N20" i="11" a="1"/>
  <c r="N20" i="11" s="1"/>
  <c r="M20" i="11" a="1"/>
  <c r="M20" i="11" s="1"/>
  <c r="L20" i="11" a="1"/>
  <c r="L20" i="11" s="1"/>
  <c r="K20" i="11" a="1"/>
  <c r="K20" i="11" s="1"/>
  <c r="J20" i="11" a="1"/>
  <c r="J20" i="11" s="1"/>
  <c r="I20" i="11" a="1"/>
  <c r="I20" i="11" s="1"/>
  <c r="H20" i="11" a="1"/>
  <c r="H20" i="11" s="1"/>
  <c r="G20" i="11" a="1"/>
  <c r="G20" i="11" s="1"/>
  <c r="F20" i="11" a="1"/>
  <c r="F20" i="11" s="1"/>
  <c r="E20" i="11" a="1"/>
  <c r="E20" i="11" s="1"/>
  <c r="D20" i="11" a="1"/>
  <c r="D20" i="11" s="1"/>
  <c r="C20" i="11" a="1"/>
  <c r="C20" i="11" s="1"/>
  <c r="P17" i="11" a="1"/>
  <c r="P17" i="11" s="1"/>
  <c r="O17" i="11" a="1"/>
  <c r="O17" i="11" s="1"/>
  <c r="N17" i="11" a="1"/>
  <c r="N17" i="11" s="1"/>
  <c r="M17" i="11" a="1"/>
  <c r="M17" i="11" s="1"/>
  <c r="L17" i="11" a="1"/>
  <c r="L17" i="11" s="1"/>
  <c r="K17" i="11" a="1"/>
  <c r="K17" i="11" s="1"/>
  <c r="J17" i="11" a="1"/>
  <c r="J17" i="11" s="1"/>
  <c r="I17" i="11" a="1"/>
  <c r="I17" i="11" s="1"/>
  <c r="H17" i="11" a="1"/>
  <c r="H17" i="11" s="1"/>
  <c r="G17" i="11" a="1"/>
  <c r="G17" i="11" s="1"/>
  <c r="F17" i="11" a="1"/>
  <c r="F17" i="11" s="1"/>
  <c r="E17" i="11" a="1"/>
  <c r="E17" i="11" s="1"/>
  <c r="D17" i="11" a="1"/>
  <c r="D17" i="11" s="1"/>
  <c r="C17" i="11" a="1"/>
  <c r="C17" i="11" s="1"/>
  <c r="P14" i="11" a="1"/>
  <c r="P14" i="11" s="1"/>
  <c r="O14" i="11" a="1"/>
  <c r="O14" i="11" s="1"/>
  <c r="N14" i="11" a="1"/>
  <c r="N14" i="11" s="1"/>
  <c r="M14" i="11" a="1"/>
  <c r="M14" i="11" s="1"/>
  <c r="L14" i="11" a="1"/>
  <c r="L14" i="11" s="1"/>
  <c r="K14" i="11" a="1"/>
  <c r="K14" i="11" s="1"/>
  <c r="J14" i="11" a="1"/>
  <c r="J14" i="11" s="1"/>
  <c r="I14" i="11" a="1"/>
  <c r="I14" i="11" s="1"/>
  <c r="H14" i="11" a="1"/>
  <c r="H14" i="11" s="1"/>
  <c r="G14" i="11" a="1"/>
  <c r="G14" i="11" s="1"/>
  <c r="F14" i="11" a="1"/>
  <c r="F14" i="11" s="1"/>
  <c r="E14" i="11" a="1"/>
  <c r="E14" i="11" s="1"/>
  <c r="D14" i="11" a="1"/>
  <c r="D14" i="11" s="1"/>
  <c r="C14" i="11" a="1"/>
  <c r="C14" i="11" s="1"/>
  <c r="P11" i="11" a="1"/>
  <c r="P11" i="11" s="1"/>
  <c r="O11" i="11" a="1"/>
  <c r="O11" i="11" s="1"/>
  <c r="N11" i="11" a="1"/>
  <c r="N11" i="11" s="1"/>
  <c r="M11" i="11" a="1"/>
  <c r="M11" i="11" s="1"/>
  <c r="L11" i="11" a="1"/>
  <c r="L11" i="11" s="1"/>
  <c r="K11" i="11" a="1"/>
  <c r="K11" i="11" s="1"/>
  <c r="J11" i="11" a="1"/>
  <c r="J11" i="11" s="1"/>
  <c r="I11" i="11" a="1"/>
  <c r="I11" i="11" s="1"/>
  <c r="H11" i="11" a="1"/>
  <c r="H11" i="11" s="1"/>
  <c r="G11" i="11" a="1"/>
  <c r="G11" i="11" s="1"/>
  <c r="F11" i="11" a="1"/>
  <c r="F11" i="11" s="1"/>
  <c r="E11" i="11" a="1"/>
  <c r="E11" i="11" s="1"/>
  <c r="D11" i="11" a="1"/>
  <c r="D11" i="11" s="1"/>
  <c r="C11" i="11" a="1"/>
  <c r="C11" i="11" s="1"/>
  <c r="P8" i="11" a="1"/>
  <c r="P8" i="11" s="1"/>
  <c r="O8" i="11" a="1"/>
  <c r="O8" i="11" s="1"/>
  <c r="N8" i="11" a="1"/>
  <c r="N8" i="11" s="1"/>
  <c r="M8" i="11" a="1"/>
  <c r="M8" i="11" s="1"/>
  <c r="L8" i="11" a="1"/>
  <c r="L8" i="11" s="1"/>
  <c r="K8" i="11" a="1"/>
  <c r="K8" i="11" s="1"/>
  <c r="J8" i="11" a="1"/>
  <c r="J8" i="11" s="1"/>
  <c r="I8" i="11" a="1"/>
  <c r="I8" i="11" s="1"/>
  <c r="H8" i="11" a="1"/>
  <c r="H8" i="11" s="1"/>
  <c r="G8" i="11" a="1"/>
  <c r="G8" i="11" s="1"/>
  <c r="F8" i="11" a="1"/>
  <c r="F8" i="11" s="1"/>
  <c r="E8" i="11" a="1"/>
  <c r="E8" i="11" s="1"/>
  <c r="D8" i="11" a="1"/>
  <c r="D8" i="11" s="1"/>
  <c r="C8" i="11" a="1"/>
  <c r="C8" i="11" s="1"/>
  <c r="P5" i="11" a="1"/>
  <c r="P5" i="11" s="1"/>
  <c r="O5" i="11" a="1"/>
  <c r="O5" i="11" s="1"/>
  <c r="N5" i="11" a="1"/>
  <c r="N5" i="11" s="1"/>
  <c r="M5" i="11" a="1"/>
  <c r="M5" i="11" s="1"/>
  <c r="L5" i="11" a="1"/>
  <c r="L5" i="11" s="1"/>
  <c r="K5" i="11" a="1"/>
  <c r="K5" i="11" s="1"/>
  <c r="J5" i="11" a="1"/>
  <c r="J5" i="11" s="1"/>
  <c r="I5" i="11" a="1"/>
  <c r="I5" i="11" s="1"/>
  <c r="H5" i="11" a="1"/>
  <c r="H5" i="11" s="1"/>
  <c r="G5" i="11" a="1"/>
  <c r="G5" i="11" s="1"/>
  <c r="F5" i="11" a="1"/>
  <c r="F5" i="11" s="1"/>
  <c r="E5" i="11" a="1"/>
  <c r="E5" i="11" s="1"/>
  <c r="D5" i="11" a="1"/>
  <c r="D5" i="11" s="1"/>
  <c r="C5" i="11" a="1"/>
  <c r="C5" i="11" s="1"/>
  <c r="D2" i="11" a="1"/>
  <c r="D2" i="11" s="1"/>
  <c r="E2" i="11" a="1"/>
  <c r="E2" i="11" s="1"/>
  <c r="F2" i="11" a="1"/>
  <c r="F2" i="11"/>
  <c r="G2" i="11" a="1"/>
  <c r="G2" i="11"/>
  <c r="H2" i="11" a="1"/>
  <c r="H2" i="11" s="1"/>
  <c r="I2" i="11" a="1"/>
  <c r="I2" i="11" s="1"/>
  <c r="J2" i="11" a="1"/>
  <c r="J2" i="11"/>
  <c r="K2" i="11" a="1"/>
  <c r="K2" i="11"/>
  <c r="L2" i="11" a="1"/>
  <c r="L2" i="11" s="1"/>
  <c r="M2" i="11" a="1"/>
  <c r="M2" i="11" s="1"/>
  <c r="N2" i="11" a="1"/>
  <c r="N2" i="11" s="1"/>
  <c r="O2" i="11" a="1"/>
  <c r="O2" i="11" s="1"/>
  <c r="P2" i="11" a="1"/>
  <c r="P2" i="11" s="1"/>
  <c r="C2" i="11" a="1"/>
  <c r="C2" i="11" s="1"/>
  <c r="R28" i="11"/>
  <c r="R27" i="11"/>
  <c r="R25" i="11"/>
  <c r="R24" i="11"/>
  <c r="Q25" i="11" s="1"/>
  <c r="R22" i="11"/>
  <c r="R21" i="11"/>
  <c r="R19" i="11"/>
  <c r="R18" i="11"/>
  <c r="Q19" i="11" s="1"/>
  <c r="R16" i="11"/>
  <c r="R15" i="11"/>
  <c r="R13" i="11"/>
  <c r="R12" i="11"/>
  <c r="R10" i="11"/>
  <c r="R9" i="11"/>
  <c r="R7" i="11"/>
  <c r="R6" i="11"/>
  <c r="Q7" i="11" s="1"/>
  <c r="R4" i="11"/>
  <c r="R3" i="11"/>
  <c r="A59" i="9"/>
  <c r="J59" i="10"/>
  <c r="I59" i="10"/>
  <c r="I58" i="10"/>
  <c r="E58" i="10"/>
  <c r="J57" i="10"/>
  <c r="I57" i="10"/>
  <c r="A57" i="10"/>
  <c r="A58" i="10" s="1"/>
  <c r="A59" i="10" s="1"/>
  <c r="I56" i="10"/>
  <c r="E56" i="10"/>
  <c r="J55" i="10"/>
  <c r="I55" i="10"/>
  <c r="I54" i="10"/>
  <c r="E54" i="10"/>
  <c r="A54" i="10"/>
  <c r="A55" i="10" s="1"/>
  <c r="J53" i="10"/>
  <c r="I53" i="10"/>
  <c r="A53" i="10"/>
  <c r="I52" i="10"/>
  <c r="E52" i="10"/>
  <c r="J51" i="10"/>
  <c r="I51" i="10"/>
  <c r="I50" i="10"/>
  <c r="E50" i="10"/>
  <c r="J49" i="10"/>
  <c r="I49" i="10"/>
  <c r="A49" i="10"/>
  <c r="A50" i="10" s="1"/>
  <c r="A51" i="10" s="1"/>
  <c r="I48" i="10"/>
  <c r="E48" i="10"/>
  <c r="J47" i="10"/>
  <c r="I47" i="10"/>
  <c r="I46" i="10"/>
  <c r="E46" i="10"/>
  <c r="J45" i="10"/>
  <c r="I45" i="10"/>
  <c r="A45" i="10"/>
  <c r="A46" i="10" s="1"/>
  <c r="A47" i="10" s="1"/>
  <c r="I44" i="10"/>
  <c r="E44" i="10"/>
  <c r="J43" i="10"/>
  <c r="I43" i="10"/>
  <c r="I42" i="10"/>
  <c r="E42" i="10"/>
  <c r="J41" i="10"/>
  <c r="I41" i="10"/>
  <c r="A41" i="10"/>
  <c r="A42" i="10" s="1"/>
  <c r="A43" i="10" s="1"/>
  <c r="I40" i="10"/>
  <c r="E40" i="10"/>
  <c r="J39" i="10"/>
  <c r="I39" i="10"/>
  <c r="I38" i="10"/>
  <c r="E38" i="10"/>
  <c r="J37" i="10"/>
  <c r="I37" i="10"/>
  <c r="A37" i="10"/>
  <c r="A38" i="10" s="1"/>
  <c r="A39" i="10" s="1"/>
  <c r="I36" i="10"/>
  <c r="E36" i="10"/>
  <c r="J35" i="10"/>
  <c r="I35" i="10"/>
  <c r="I34" i="10"/>
  <c r="E34" i="10"/>
  <c r="J33" i="10"/>
  <c r="I33" i="10"/>
  <c r="A33" i="10"/>
  <c r="A34" i="10" s="1"/>
  <c r="A35" i="10" s="1"/>
  <c r="I32" i="10"/>
  <c r="E32" i="10"/>
  <c r="A31" i="10"/>
  <c r="J29" i="10"/>
  <c r="I29" i="10"/>
  <c r="I28" i="10"/>
  <c r="E28" i="10"/>
  <c r="J27" i="10"/>
  <c r="I27" i="10"/>
  <c r="A27" i="10"/>
  <c r="A28" i="10" s="1"/>
  <c r="A29" i="10" s="1"/>
  <c r="I26" i="10"/>
  <c r="E26" i="10"/>
  <c r="J25" i="10"/>
  <c r="I25" i="10"/>
  <c r="I24" i="10"/>
  <c r="E24" i="10"/>
  <c r="J23" i="10"/>
  <c r="I23" i="10"/>
  <c r="A23" i="10"/>
  <c r="A24" i="10" s="1"/>
  <c r="A25" i="10" s="1"/>
  <c r="I22" i="10"/>
  <c r="E22" i="10"/>
  <c r="J21" i="10"/>
  <c r="I21" i="10"/>
  <c r="I20" i="10"/>
  <c r="E20" i="10"/>
  <c r="J19" i="10"/>
  <c r="I19" i="10"/>
  <c r="A19" i="10"/>
  <c r="A20" i="10" s="1"/>
  <c r="A21" i="10" s="1"/>
  <c r="I18" i="10"/>
  <c r="E18" i="10"/>
  <c r="J17" i="10"/>
  <c r="I17" i="10"/>
  <c r="I16" i="10"/>
  <c r="E16" i="10"/>
  <c r="J15" i="10"/>
  <c r="I15" i="10"/>
  <c r="A15" i="10"/>
  <c r="A16" i="10" s="1"/>
  <c r="A17" i="10" s="1"/>
  <c r="I14" i="10"/>
  <c r="E14" i="10"/>
  <c r="J13" i="10"/>
  <c r="I13" i="10"/>
  <c r="I12" i="10"/>
  <c r="E12" i="10"/>
  <c r="J11" i="10"/>
  <c r="I11" i="10"/>
  <c r="A11" i="10"/>
  <c r="A12" i="10" s="1"/>
  <c r="A13" i="10" s="1"/>
  <c r="I10" i="10"/>
  <c r="E10" i="10"/>
  <c r="J9" i="10"/>
  <c r="I9" i="10"/>
  <c r="I8" i="10"/>
  <c r="E8" i="10"/>
  <c r="J7" i="10"/>
  <c r="I7" i="10"/>
  <c r="A7" i="10"/>
  <c r="A8" i="10" s="1"/>
  <c r="A9" i="10" s="1"/>
  <c r="I6" i="10"/>
  <c r="E6" i="10"/>
  <c r="B6" i="10"/>
  <c r="B10" i="10" s="1"/>
  <c r="J5" i="10"/>
  <c r="I5" i="10"/>
  <c r="I4" i="10"/>
  <c r="E4" i="10"/>
  <c r="J3" i="10"/>
  <c r="I3" i="10"/>
  <c r="B3" i="10"/>
  <c r="B4" i="10" s="1"/>
  <c r="B5" i="10" s="1"/>
  <c r="A3" i="10"/>
  <c r="A4" i="10" s="1"/>
  <c r="A5" i="10" s="1"/>
  <c r="I2" i="10"/>
  <c r="E2" i="10"/>
  <c r="J115" i="9"/>
  <c r="I115" i="9"/>
  <c r="J114" i="9"/>
  <c r="I114" i="9"/>
  <c r="J113" i="9"/>
  <c r="I113" i="9"/>
  <c r="I112" i="9"/>
  <c r="I111" i="9"/>
  <c r="I110" i="9"/>
  <c r="E110" i="9"/>
  <c r="I109" i="9"/>
  <c r="E109" i="9"/>
  <c r="A109" i="9"/>
  <c r="A110" i="9" s="1"/>
  <c r="A111" i="9" s="1"/>
  <c r="A112" i="9" s="1"/>
  <c r="A113" i="9" s="1"/>
  <c r="A114" i="9" s="1"/>
  <c r="A115" i="9" s="1"/>
  <c r="I108" i="9"/>
  <c r="E108" i="9"/>
  <c r="J107" i="9"/>
  <c r="I107" i="9"/>
  <c r="J106" i="9"/>
  <c r="I106" i="9"/>
  <c r="J105" i="9"/>
  <c r="I105" i="9"/>
  <c r="I104" i="9"/>
  <c r="I103" i="9"/>
  <c r="I102" i="9"/>
  <c r="E102" i="9"/>
  <c r="I101" i="9"/>
  <c r="E101" i="9"/>
  <c r="A101" i="9"/>
  <c r="A102" i="9" s="1"/>
  <c r="A103" i="9" s="1"/>
  <c r="A104" i="9" s="1"/>
  <c r="A105" i="9" s="1"/>
  <c r="A106" i="9" s="1"/>
  <c r="A107" i="9" s="1"/>
  <c r="I100" i="9"/>
  <c r="E100" i="9"/>
  <c r="J99" i="9"/>
  <c r="I99" i="9"/>
  <c r="J98" i="9"/>
  <c r="I98" i="9"/>
  <c r="J97" i="9"/>
  <c r="I97" i="9"/>
  <c r="I96" i="9"/>
  <c r="I95" i="9"/>
  <c r="I94" i="9"/>
  <c r="E94" i="9"/>
  <c r="I93" i="9"/>
  <c r="E93" i="9"/>
  <c r="A93" i="9"/>
  <c r="A94" i="9" s="1"/>
  <c r="A95" i="9" s="1"/>
  <c r="A96" i="9" s="1"/>
  <c r="A97" i="9" s="1"/>
  <c r="A98" i="9" s="1"/>
  <c r="A99" i="9" s="1"/>
  <c r="I92" i="9"/>
  <c r="E92" i="9"/>
  <c r="J91" i="9"/>
  <c r="I91" i="9"/>
  <c r="J90" i="9"/>
  <c r="I90" i="9"/>
  <c r="J89" i="9"/>
  <c r="I89" i="9"/>
  <c r="I88" i="9"/>
  <c r="I87" i="9"/>
  <c r="I86" i="9"/>
  <c r="E86" i="9"/>
  <c r="I85" i="9"/>
  <c r="E85" i="9"/>
  <c r="A85" i="9"/>
  <c r="A86" i="9" s="1"/>
  <c r="A87" i="9" s="1"/>
  <c r="A88" i="9" s="1"/>
  <c r="A89" i="9" s="1"/>
  <c r="A90" i="9" s="1"/>
  <c r="A91" i="9" s="1"/>
  <c r="I84" i="9"/>
  <c r="E84" i="9"/>
  <c r="J83" i="9"/>
  <c r="I83" i="9"/>
  <c r="J82" i="9"/>
  <c r="I82" i="9"/>
  <c r="J81" i="9"/>
  <c r="I81" i="9"/>
  <c r="I80" i="9"/>
  <c r="I79" i="9"/>
  <c r="I78" i="9"/>
  <c r="E78" i="9"/>
  <c r="I77" i="9"/>
  <c r="E77" i="9"/>
  <c r="A77" i="9"/>
  <c r="A78" i="9" s="1"/>
  <c r="A79" i="9" s="1"/>
  <c r="A80" i="9" s="1"/>
  <c r="A81" i="9" s="1"/>
  <c r="A82" i="9" s="1"/>
  <c r="A83" i="9" s="1"/>
  <c r="I76" i="9"/>
  <c r="E76" i="9"/>
  <c r="J75" i="9"/>
  <c r="I75" i="9"/>
  <c r="J74" i="9"/>
  <c r="I74" i="9"/>
  <c r="J73" i="9"/>
  <c r="I73" i="9"/>
  <c r="I72" i="9"/>
  <c r="I71" i="9"/>
  <c r="I70" i="9"/>
  <c r="E70" i="9"/>
  <c r="I69" i="9"/>
  <c r="E69" i="9"/>
  <c r="A69" i="9"/>
  <c r="A70" i="9" s="1"/>
  <c r="A71" i="9" s="1"/>
  <c r="A72" i="9" s="1"/>
  <c r="A73" i="9" s="1"/>
  <c r="A74" i="9" s="1"/>
  <c r="A75" i="9" s="1"/>
  <c r="I68" i="9"/>
  <c r="E68" i="9"/>
  <c r="J67" i="9"/>
  <c r="I67" i="9"/>
  <c r="J66" i="9"/>
  <c r="I66" i="9"/>
  <c r="J65" i="9"/>
  <c r="I65" i="9"/>
  <c r="I64" i="9"/>
  <c r="I63" i="9"/>
  <c r="I62" i="9"/>
  <c r="E62" i="9"/>
  <c r="I61" i="9"/>
  <c r="E61" i="9"/>
  <c r="A61" i="9"/>
  <c r="A62" i="9" s="1"/>
  <c r="A63" i="9" s="1"/>
  <c r="A64" i="9" s="1"/>
  <c r="A65" i="9" s="1"/>
  <c r="A66" i="9" s="1"/>
  <c r="A67" i="9" s="1"/>
  <c r="I60" i="9"/>
  <c r="E60" i="9"/>
  <c r="J57" i="9"/>
  <c r="I57" i="9"/>
  <c r="J56" i="9"/>
  <c r="I56" i="9"/>
  <c r="J55" i="9"/>
  <c r="I55" i="9"/>
  <c r="I54" i="9"/>
  <c r="I53" i="9"/>
  <c r="I52" i="9"/>
  <c r="E52" i="9"/>
  <c r="I51" i="9"/>
  <c r="E51" i="9"/>
  <c r="A51" i="9"/>
  <c r="A52" i="9" s="1"/>
  <c r="A53" i="9" s="1"/>
  <c r="A54" i="9" s="1"/>
  <c r="A55" i="9" s="1"/>
  <c r="A56" i="9" s="1"/>
  <c r="A57" i="9" s="1"/>
  <c r="I50" i="9"/>
  <c r="E50" i="9"/>
  <c r="J49" i="9"/>
  <c r="I49" i="9"/>
  <c r="J48" i="9"/>
  <c r="I48" i="9"/>
  <c r="J47" i="9"/>
  <c r="I47" i="9"/>
  <c r="I46" i="9"/>
  <c r="I45" i="9"/>
  <c r="I44" i="9"/>
  <c r="E44" i="9"/>
  <c r="I43" i="9"/>
  <c r="E43" i="9"/>
  <c r="A43" i="9"/>
  <c r="A44" i="9" s="1"/>
  <c r="A45" i="9" s="1"/>
  <c r="A46" i="9" s="1"/>
  <c r="A47" i="9" s="1"/>
  <c r="A48" i="9" s="1"/>
  <c r="A49" i="9" s="1"/>
  <c r="I42" i="9"/>
  <c r="E42" i="9"/>
  <c r="J41" i="9"/>
  <c r="I41" i="9"/>
  <c r="J40" i="9"/>
  <c r="I40" i="9"/>
  <c r="J39" i="9"/>
  <c r="I39" i="9"/>
  <c r="I38" i="9"/>
  <c r="I37" i="9"/>
  <c r="I36" i="9"/>
  <c r="E36" i="9"/>
  <c r="I35" i="9"/>
  <c r="E35" i="9"/>
  <c r="A35" i="9"/>
  <c r="A36" i="9" s="1"/>
  <c r="A37" i="9" s="1"/>
  <c r="A38" i="9" s="1"/>
  <c r="A39" i="9" s="1"/>
  <c r="A40" i="9" s="1"/>
  <c r="A41" i="9" s="1"/>
  <c r="I34" i="9"/>
  <c r="E34" i="9"/>
  <c r="J33" i="9"/>
  <c r="I33" i="9"/>
  <c r="J32" i="9"/>
  <c r="I32" i="9"/>
  <c r="J31" i="9"/>
  <c r="I31" i="9"/>
  <c r="I30" i="9"/>
  <c r="I29" i="9"/>
  <c r="I28" i="9"/>
  <c r="E28" i="9"/>
  <c r="I27" i="9"/>
  <c r="E27" i="9"/>
  <c r="A27" i="9"/>
  <c r="A28" i="9" s="1"/>
  <c r="A29" i="9" s="1"/>
  <c r="A30" i="9" s="1"/>
  <c r="A31" i="9" s="1"/>
  <c r="A32" i="9" s="1"/>
  <c r="A33" i="9" s="1"/>
  <c r="I26" i="9"/>
  <c r="E26" i="9"/>
  <c r="J25" i="9"/>
  <c r="I25" i="9"/>
  <c r="J24" i="9"/>
  <c r="I24" i="9"/>
  <c r="J23" i="9"/>
  <c r="I23" i="9"/>
  <c r="I22" i="9"/>
  <c r="I21" i="9"/>
  <c r="I20" i="9"/>
  <c r="E20" i="9"/>
  <c r="I19" i="9"/>
  <c r="E19" i="9"/>
  <c r="A19" i="9"/>
  <c r="A20" i="9" s="1"/>
  <c r="A21" i="9" s="1"/>
  <c r="A22" i="9" s="1"/>
  <c r="A23" i="9" s="1"/>
  <c r="A24" i="9" s="1"/>
  <c r="A25" i="9" s="1"/>
  <c r="I18" i="9"/>
  <c r="E18" i="9"/>
  <c r="J17" i="9"/>
  <c r="I17" i="9"/>
  <c r="J16" i="9"/>
  <c r="I16" i="9"/>
  <c r="J15" i="9"/>
  <c r="I15" i="9"/>
  <c r="I14" i="9"/>
  <c r="I13" i="9"/>
  <c r="I12" i="9"/>
  <c r="E12" i="9"/>
  <c r="I11" i="9"/>
  <c r="E11" i="9"/>
  <c r="A11" i="9"/>
  <c r="A12" i="9" s="1"/>
  <c r="A13" i="9" s="1"/>
  <c r="A14" i="9" s="1"/>
  <c r="A15" i="9" s="1"/>
  <c r="A16" i="9" s="1"/>
  <c r="A17" i="9" s="1"/>
  <c r="I10" i="9"/>
  <c r="E10" i="9"/>
  <c r="B10" i="9"/>
  <c r="B18" i="9" s="1"/>
  <c r="J9" i="9"/>
  <c r="I9" i="9"/>
  <c r="J8" i="9"/>
  <c r="I8" i="9"/>
  <c r="J7" i="9"/>
  <c r="I7" i="9"/>
  <c r="I6" i="9"/>
  <c r="I5" i="9"/>
  <c r="I4" i="9"/>
  <c r="E4" i="9"/>
  <c r="I3" i="9"/>
  <c r="E3" i="9"/>
  <c r="B3" i="9"/>
  <c r="B4" i="9" s="1"/>
  <c r="B5" i="9" s="1"/>
  <c r="B6" i="9" s="1"/>
  <c r="B7" i="9" s="1"/>
  <c r="B8" i="9" s="1"/>
  <c r="B9" i="9" s="1"/>
  <c r="A3" i="9"/>
  <c r="A4" i="9" s="1"/>
  <c r="A5" i="9" s="1"/>
  <c r="A6" i="9" s="1"/>
  <c r="A7" i="9" s="1"/>
  <c r="A8" i="9" s="1"/>
  <c r="A9" i="9" s="1"/>
  <c r="I2" i="9"/>
  <c r="E2" i="9"/>
  <c r="I180" i="8"/>
  <c r="G180" i="8"/>
  <c r="C180" i="8"/>
  <c r="B180" i="8"/>
  <c r="A180" i="8"/>
  <c r="J7" i="8"/>
  <c r="E126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A173" i="8"/>
  <c r="A174" i="8"/>
  <c r="A175" i="8"/>
  <c r="A176" i="8"/>
  <c r="A177" i="8"/>
  <c r="A178" i="8"/>
  <c r="A179" i="8"/>
  <c r="A183" i="8"/>
  <c r="A184" i="8"/>
  <c r="A185" i="8"/>
  <c r="A186" i="8"/>
  <c r="A187" i="8"/>
  <c r="A188" i="8"/>
  <c r="A189" i="8"/>
  <c r="A190" i="8"/>
  <c r="A172" i="8"/>
  <c r="B101" i="5"/>
  <c r="A81" i="8"/>
  <c r="A149" i="8"/>
  <c r="A150" i="8" s="1"/>
  <c r="A151" i="8" s="1"/>
  <c r="A152" i="8" s="1"/>
  <c r="A153" i="8" s="1"/>
  <c r="A154" i="8" s="1"/>
  <c r="A155" i="8" s="1"/>
  <c r="A156" i="8" s="1"/>
  <c r="A139" i="8"/>
  <c r="A140" i="8" s="1"/>
  <c r="A141" i="8" s="1"/>
  <c r="A142" i="8" s="1"/>
  <c r="A143" i="8" s="1"/>
  <c r="A144" i="8" s="1"/>
  <c r="A145" i="8" s="1"/>
  <c r="A146" i="8" s="1"/>
  <c r="A125" i="8"/>
  <c r="A126" i="8" s="1"/>
  <c r="A127" i="8" s="1"/>
  <c r="A128" i="8" s="1"/>
  <c r="A129" i="8" s="1"/>
  <c r="A130" i="8" s="1"/>
  <c r="A131" i="8" s="1"/>
  <c r="A132" i="8" s="1"/>
  <c r="A115" i="8"/>
  <c r="A116" i="8" s="1"/>
  <c r="A117" i="8" s="1"/>
  <c r="A118" i="8" s="1"/>
  <c r="A119" i="8" s="1"/>
  <c r="A120" i="8" s="1"/>
  <c r="A121" i="8" s="1"/>
  <c r="A122" i="8" s="1"/>
  <c r="A105" i="8"/>
  <c r="A106" i="8" s="1"/>
  <c r="A107" i="8" s="1"/>
  <c r="A108" i="8" s="1"/>
  <c r="A109" i="8" s="1"/>
  <c r="A110" i="8" s="1"/>
  <c r="A111" i="8" s="1"/>
  <c r="A112" i="8" s="1"/>
  <c r="A94" i="8"/>
  <c r="A95" i="8" s="1"/>
  <c r="A96" i="8" s="1"/>
  <c r="A97" i="8" s="1"/>
  <c r="A98" i="8" s="1"/>
  <c r="A99" i="8" s="1"/>
  <c r="A100" i="8" s="1"/>
  <c r="A101" i="8" s="1"/>
  <c r="A84" i="8"/>
  <c r="A85" i="8" s="1"/>
  <c r="A86" i="8" s="1"/>
  <c r="A87" i="8" s="1"/>
  <c r="A88" i="8" s="1"/>
  <c r="A89" i="8" s="1"/>
  <c r="A90" i="8" s="1"/>
  <c r="A91" i="8" s="1"/>
  <c r="A71" i="8"/>
  <c r="A72" i="8" s="1"/>
  <c r="A73" i="8" s="1"/>
  <c r="A74" i="8" s="1"/>
  <c r="A75" i="8" s="1"/>
  <c r="A76" i="8" s="1"/>
  <c r="A77" i="8" s="1"/>
  <c r="A78" i="8" s="1"/>
  <c r="A57" i="8"/>
  <c r="A58" i="8" s="1"/>
  <c r="A59" i="8" s="1"/>
  <c r="A60" i="8" s="1"/>
  <c r="A61" i="8" s="1"/>
  <c r="A62" i="8" s="1"/>
  <c r="A63" i="8" s="1"/>
  <c r="A64" i="8" s="1"/>
  <c r="A47" i="8"/>
  <c r="A48" i="8" s="1"/>
  <c r="A49" i="8" s="1"/>
  <c r="A50" i="8" s="1"/>
  <c r="A51" i="8" s="1"/>
  <c r="A52" i="8" s="1"/>
  <c r="A53" i="8" s="1"/>
  <c r="A54" i="8" s="1"/>
  <c r="B12" i="8"/>
  <c r="B22" i="8" s="1"/>
  <c r="A23" i="8"/>
  <c r="A24" i="8" s="1"/>
  <c r="A25" i="8" s="1"/>
  <c r="A26" i="8" s="1"/>
  <c r="A27" i="8" s="1"/>
  <c r="A28" i="8" s="1"/>
  <c r="A29" i="8" s="1"/>
  <c r="A30" i="8" s="1"/>
  <c r="A13" i="8"/>
  <c r="A14" i="8" s="1"/>
  <c r="A15" i="8" s="1"/>
  <c r="A16" i="8" s="1"/>
  <c r="A17" i="8" s="1"/>
  <c r="A18" i="8" s="1"/>
  <c r="A19" i="8" s="1"/>
  <c r="A20" i="8" s="1"/>
  <c r="A37" i="8"/>
  <c r="A38" i="8" s="1"/>
  <c r="A39" i="8" s="1"/>
  <c r="A40" i="8" s="1"/>
  <c r="A41" i="8" s="1"/>
  <c r="A42" i="8" s="1"/>
  <c r="A43" i="8" s="1"/>
  <c r="A44" i="8" s="1"/>
  <c r="B3" i="8"/>
  <c r="B4" i="8" s="1"/>
  <c r="B5" i="8" s="1"/>
  <c r="B6" i="8" s="1"/>
  <c r="B7" i="8" s="1"/>
  <c r="B8" i="8" s="1"/>
  <c r="B9" i="8" s="1"/>
  <c r="B10" i="8" s="1"/>
  <c r="A3" i="8"/>
  <c r="A4" i="8" s="1"/>
  <c r="A5" i="8" s="1"/>
  <c r="A6" i="8" s="1"/>
  <c r="A7" i="8" s="1"/>
  <c r="A8" i="8" s="1"/>
  <c r="A9" i="8" s="1"/>
  <c r="A10" i="8" s="1"/>
  <c r="I190" i="8"/>
  <c r="G190" i="8"/>
  <c r="I189" i="8"/>
  <c r="G189" i="8"/>
  <c r="I188" i="8"/>
  <c r="G188" i="8"/>
  <c r="I187" i="8"/>
  <c r="G187" i="8"/>
  <c r="I186" i="8"/>
  <c r="G186" i="8"/>
  <c r="I185" i="8"/>
  <c r="G185" i="8"/>
  <c r="I184" i="8"/>
  <c r="G184" i="8"/>
  <c r="I183" i="8"/>
  <c r="G183" i="8"/>
  <c r="I179" i="8"/>
  <c r="G179" i="8"/>
  <c r="I178" i="8"/>
  <c r="G178" i="8"/>
  <c r="I177" i="8"/>
  <c r="G177" i="8"/>
  <c r="I176" i="8"/>
  <c r="G176" i="8"/>
  <c r="I175" i="8"/>
  <c r="G175" i="8"/>
  <c r="I174" i="8"/>
  <c r="G174" i="8"/>
  <c r="I173" i="8"/>
  <c r="G173" i="8"/>
  <c r="I172" i="8"/>
  <c r="G172" i="8"/>
  <c r="J155" i="8"/>
  <c r="I155" i="8"/>
  <c r="J154" i="8"/>
  <c r="I154" i="8"/>
  <c r="J153" i="8"/>
  <c r="I153" i="8"/>
  <c r="I152" i="8"/>
  <c r="I151" i="8"/>
  <c r="I150" i="8"/>
  <c r="E150" i="8"/>
  <c r="I149" i="8"/>
  <c r="E149" i="8"/>
  <c r="I148" i="8"/>
  <c r="E148" i="8"/>
  <c r="J145" i="8"/>
  <c r="I145" i="8"/>
  <c r="J144" i="8"/>
  <c r="I144" i="8"/>
  <c r="J143" i="8"/>
  <c r="I143" i="8"/>
  <c r="I142" i="8"/>
  <c r="I141" i="8"/>
  <c r="I140" i="8"/>
  <c r="E140" i="8"/>
  <c r="I139" i="8"/>
  <c r="E139" i="8"/>
  <c r="I138" i="8"/>
  <c r="E138" i="8"/>
  <c r="J131" i="8"/>
  <c r="I131" i="8"/>
  <c r="J130" i="8"/>
  <c r="I130" i="8"/>
  <c r="J129" i="8"/>
  <c r="I129" i="8"/>
  <c r="I128" i="8"/>
  <c r="I127" i="8"/>
  <c r="I126" i="8"/>
  <c r="I125" i="8"/>
  <c r="E125" i="8"/>
  <c r="I124" i="8"/>
  <c r="E124" i="8"/>
  <c r="J121" i="8"/>
  <c r="I121" i="8"/>
  <c r="J120" i="8"/>
  <c r="I120" i="8"/>
  <c r="J119" i="8"/>
  <c r="I119" i="8"/>
  <c r="I118" i="8"/>
  <c r="I117" i="8"/>
  <c r="I116" i="8"/>
  <c r="E116" i="8"/>
  <c r="I115" i="8"/>
  <c r="E115" i="8"/>
  <c r="I114" i="8"/>
  <c r="E114" i="8"/>
  <c r="J111" i="8"/>
  <c r="I111" i="8"/>
  <c r="J110" i="8"/>
  <c r="I110" i="8"/>
  <c r="J109" i="8"/>
  <c r="I109" i="8"/>
  <c r="I108" i="8"/>
  <c r="I107" i="8"/>
  <c r="I106" i="8"/>
  <c r="E106" i="8"/>
  <c r="I105" i="8"/>
  <c r="E105" i="8"/>
  <c r="I104" i="8"/>
  <c r="E104" i="8"/>
  <c r="J100" i="8"/>
  <c r="I100" i="8"/>
  <c r="J99" i="8"/>
  <c r="I99" i="8"/>
  <c r="J98" i="8"/>
  <c r="I98" i="8"/>
  <c r="I97" i="8"/>
  <c r="I96" i="8"/>
  <c r="I95" i="8"/>
  <c r="E95" i="8"/>
  <c r="I94" i="8"/>
  <c r="E94" i="8"/>
  <c r="I93" i="8"/>
  <c r="E93" i="8"/>
  <c r="J90" i="8"/>
  <c r="I90" i="8"/>
  <c r="J89" i="8"/>
  <c r="I89" i="8"/>
  <c r="J88" i="8"/>
  <c r="I88" i="8"/>
  <c r="I87" i="8"/>
  <c r="I86" i="8"/>
  <c r="I85" i="8"/>
  <c r="E85" i="8"/>
  <c r="I84" i="8"/>
  <c r="E84" i="8"/>
  <c r="I83" i="8"/>
  <c r="E83" i="8"/>
  <c r="J77" i="8"/>
  <c r="I77" i="8"/>
  <c r="J76" i="8"/>
  <c r="I76" i="8"/>
  <c r="J75" i="8"/>
  <c r="I75" i="8"/>
  <c r="I74" i="8"/>
  <c r="I73" i="8"/>
  <c r="I72" i="8"/>
  <c r="E72" i="8"/>
  <c r="I71" i="8"/>
  <c r="E71" i="8"/>
  <c r="I70" i="8"/>
  <c r="E70" i="8"/>
  <c r="J63" i="8"/>
  <c r="I63" i="8"/>
  <c r="J62" i="8"/>
  <c r="I62" i="8"/>
  <c r="J61" i="8"/>
  <c r="I61" i="8"/>
  <c r="I60" i="8"/>
  <c r="I59" i="8"/>
  <c r="I58" i="8"/>
  <c r="E58" i="8"/>
  <c r="I57" i="8"/>
  <c r="E57" i="8"/>
  <c r="I56" i="8"/>
  <c r="E56" i="8"/>
  <c r="J53" i="8"/>
  <c r="I53" i="8"/>
  <c r="J52" i="8"/>
  <c r="I52" i="8"/>
  <c r="J51" i="8"/>
  <c r="I51" i="8"/>
  <c r="I50" i="8"/>
  <c r="I49" i="8"/>
  <c r="I48" i="8"/>
  <c r="E48" i="8"/>
  <c r="I47" i="8"/>
  <c r="E47" i="8"/>
  <c r="I46" i="8"/>
  <c r="E46" i="8"/>
  <c r="J43" i="8"/>
  <c r="I43" i="8"/>
  <c r="J42" i="8"/>
  <c r="I42" i="8"/>
  <c r="J41" i="8"/>
  <c r="I41" i="8"/>
  <c r="I40" i="8"/>
  <c r="I39" i="8"/>
  <c r="I38" i="8"/>
  <c r="E38" i="8"/>
  <c r="I37" i="8"/>
  <c r="E37" i="8"/>
  <c r="I36" i="8"/>
  <c r="E36" i="8"/>
  <c r="J29" i="8"/>
  <c r="I29" i="8"/>
  <c r="J28" i="8"/>
  <c r="I28" i="8"/>
  <c r="J27" i="8"/>
  <c r="I27" i="8"/>
  <c r="I26" i="8"/>
  <c r="I25" i="8"/>
  <c r="I24" i="8"/>
  <c r="E24" i="8"/>
  <c r="I23" i="8"/>
  <c r="E23" i="8"/>
  <c r="I22" i="8"/>
  <c r="E22" i="8"/>
  <c r="J19" i="8"/>
  <c r="I19" i="8"/>
  <c r="J18" i="8"/>
  <c r="I18" i="8"/>
  <c r="J17" i="8"/>
  <c r="I17" i="8"/>
  <c r="I16" i="8"/>
  <c r="I15" i="8"/>
  <c r="I14" i="8"/>
  <c r="E14" i="8"/>
  <c r="I13" i="8"/>
  <c r="E13" i="8"/>
  <c r="I12" i="8"/>
  <c r="E12" i="8"/>
  <c r="J9" i="8"/>
  <c r="I9" i="8"/>
  <c r="J8" i="8"/>
  <c r="I8" i="8"/>
  <c r="I7" i="8"/>
  <c r="I6" i="8"/>
  <c r="I5" i="8"/>
  <c r="I4" i="8"/>
  <c r="E4" i="8"/>
  <c r="I3" i="8"/>
  <c r="E3" i="8"/>
  <c r="I2" i="8"/>
  <c r="E2" i="8"/>
  <c r="F76" i="7"/>
  <c r="E76" i="7"/>
  <c r="D76" i="7"/>
  <c r="C76" i="7"/>
  <c r="B76" i="7"/>
  <c r="F75" i="7"/>
  <c r="E75" i="7"/>
  <c r="C75" i="7"/>
  <c r="B75" i="7"/>
  <c r="D75" i="7" s="1"/>
  <c r="F74" i="7"/>
  <c r="E74" i="7"/>
  <c r="C74" i="7"/>
  <c r="B74" i="7"/>
  <c r="D74" i="7" s="1"/>
  <c r="F73" i="7"/>
  <c r="E73" i="7"/>
  <c r="C73" i="7"/>
  <c r="B73" i="7"/>
  <c r="D73" i="7" s="1"/>
  <c r="F72" i="7"/>
  <c r="E72" i="7"/>
  <c r="D72" i="7"/>
  <c r="C72" i="7"/>
  <c r="B72" i="7"/>
  <c r="F71" i="7"/>
  <c r="E71" i="7"/>
  <c r="C71" i="7"/>
  <c r="B71" i="7"/>
  <c r="D71" i="7" s="1"/>
  <c r="F70" i="7"/>
  <c r="E70" i="7"/>
  <c r="C70" i="7"/>
  <c r="B70" i="7"/>
  <c r="D70" i="7" s="1"/>
  <c r="F69" i="7"/>
  <c r="E69" i="7"/>
  <c r="C69" i="7"/>
  <c r="B69" i="7"/>
  <c r="D69" i="7" s="1"/>
  <c r="J65" i="7"/>
  <c r="E65" i="7"/>
  <c r="A65" i="7"/>
  <c r="J64" i="7"/>
  <c r="E64" i="7"/>
  <c r="J63" i="7"/>
  <c r="I63" i="7"/>
  <c r="I62" i="7"/>
  <c r="E62" i="7"/>
  <c r="A62" i="7"/>
  <c r="A63" i="7" s="1"/>
  <c r="J61" i="7"/>
  <c r="I61" i="7"/>
  <c r="A61" i="7"/>
  <c r="I60" i="7"/>
  <c r="E60" i="7"/>
  <c r="J59" i="7"/>
  <c r="I59" i="7"/>
  <c r="I58" i="7"/>
  <c r="E58" i="7"/>
  <c r="A58" i="7"/>
  <c r="A59" i="7" s="1"/>
  <c r="J57" i="7"/>
  <c r="I57" i="7"/>
  <c r="A57" i="7"/>
  <c r="I56" i="7"/>
  <c r="E56" i="7"/>
  <c r="J55" i="7"/>
  <c r="I55" i="7"/>
  <c r="I54" i="7"/>
  <c r="E54" i="7"/>
  <c r="A54" i="7"/>
  <c r="A55" i="7" s="1"/>
  <c r="J53" i="7"/>
  <c r="I53" i="7"/>
  <c r="A53" i="7"/>
  <c r="I52" i="7"/>
  <c r="E52" i="7"/>
  <c r="J51" i="7"/>
  <c r="I51" i="7"/>
  <c r="I50" i="7"/>
  <c r="E50" i="7"/>
  <c r="J49" i="7"/>
  <c r="I49" i="7"/>
  <c r="A49" i="7"/>
  <c r="A50" i="7" s="1"/>
  <c r="A51" i="7" s="1"/>
  <c r="I48" i="7"/>
  <c r="E48" i="7"/>
  <c r="J47" i="7"/>
  <c r="I47" i="7"/>
  <c r="I46" i="7"/>
  <c r="E46" i="7"/>
  <c r="J45" i="7"/>
  <c r="I45" i="7"/>
  <c r="A45" i="7"/>
  <c r="A46" i="7" s="1"/>
  <c r="A47" i="7" s="1"/>
  <c r="I44" i="7"/>
  <c r="E44" i="7"/>
  <c r="J43" i="7"/>
  <c r="I43" i="7"/>
  <c r="I42" i="7"/>
  <c r="E42" i="7"/>
  <c r="J41" i="7"/>
  <c r="I41" i="7"/>
  <c r="A41" i="7"/>
  <c r="A42" i="7" s="1"/>
  <c r="A43" i="7" s="1"/>
  <c r="I40" i="7"/>
  <c r="E40" i="7"/>
  <c r="J39" i="7"/>
  <c r="I39" i="7"/>
  <c r="I38" i="7"/>
  <c r="E38" i="7"/>
  <c r="J37" i="7"/>
  <c r="I37" i="7"/>
  <c r="A37" i="7"/>
  <c r="A38" i="7" s="1"/>
  <c r="A39" i="7" s="1"/>
  <c r="I36" i="7"/>
  <c r="E36" i="7"/>
  <c r="J35" i="7"/>
  <c r="I35" i="7"/>
  <c r="I34" i="7"/>
  <c r="E34" i="7"/>
  <c r="A34" i="7"/>
  <c r="A35" i="7" s="1"/>
  <c r="J33" i="7"/>
  <c r="I33" i="7"/>
  <c r="A33" i="7"/>
  <c r="I32" i="7"/>
  <c r="E32" i="7"/>
  <c r="A31" i="7"/>
  <c r="J29" i="7"/>
  <c r="I29" i="7"/>
  <c r="I28" i="7"/>
  <c r="E28" i="7"/>
  <c r="J27" i="7"/>
  <c r="I27" i="7"/>
  <c r="A27" i="7"/>
  <c r="A28" i="7" s="1"/>
  <c r="A29" i="7" s="1"/>
  <c r="I26" i="7"/>
  <c r="E26" i="7"/>
  <c r="J25" i="7"/>
  <c r="I25" i="7"/>
  <c r="I24" i="7"/>
  <c r="E24" i="7"/>
  <c r="J23" i="7"/>
  <c r="I23" i="7"/>
  <c r="A23" i="7"/>
  <c r="A24" i="7" s="1"/>
  <c r="A25" i="7" s="1"/>
  <c r="I22" i="7"/>
  <c r="E22" i="7"/>
  <c r="G75" i="7" s="1"/>
  <c r="B22" i="7"/>
  <c r="B26" i="7" s="1"/>
  <c r="J21" i="7"/>
  <c r="I21" i="7"/>
  <c r="I20" i="7"/>
  <c r="E20" i="7"/>
  <c r="A20" i="7"/>
  <c r="A21" i="7" s="1"/>
  <c r="J19" i="7"/>
  <c r="I19" i="7"/>
  <c r="A19" i="7"/>
  <c r="I18" i="7"/>
  <c r="E18" i="7"/>
  <c r="B18" i="7"/>
  <c r="B19" i="7" s="1"/>
  <c r="B20" i="7" s="1"/>
  <c r="B21" i="7" s="1"/>
  <c r="J17" i="7"/>
  <c r="I17" i="7"/>
  <c r="I16" i="7"/>
  <c r="E16" i="7"/>
  <c r="A16" i="7"/>
  <c r="A17" i="7" s="1"/>
  <c r="J15" i="7"/>
  <c r="H70" i="7" s="1"/>
  <c r="I15" i="7"/>
  <c r="A15" i="7"/>
  <c r="I14" i="7"/>
  <c r="E14" i="7"/>
  <c r="G76" i="7" s="1"/>
  <c r="B14" i="7"/>
  <c r="B15" i="7" s="1"/>
  <c r="B16" i="7" s="1"/>
  <c r="B17" i="7" s="1"/>
  <c r="J13" i="7"/>
  <c r="I13" i="7"/>
  <c r="I12" i="7"/>
  <c r="E12" i="7"/>
  <c r="A12" i="7"/>
  <c r="A13" i="7" s="1"/>
  <c r="J11" i="7"/>
  <c r="I11" i="7"/>
  <c r="J69" i="7" s="1"/>
  <c r="A11" i="7"/>
  <c r="I10" i="7"/>
  <c r="E10" i="7"/>
  <c r="B10" i="7"/>
  <c r="B11" i="7" s="1"/>
  <c r="B12" i="7" s="1"/>
  <c r="B13" i="7" s="1"/>
  <c r="J9" i="7"/>
  <c r="I9" i="7"/>
  <c r="I8" i="7"/>
  <c r="E8" i="7"/>
  <c r="A8" i="7"/>
  <c r="A9" i="7" s="1"/>
  <c r="J7" i="7"/>
  <c r="H75" i="7" s="1"/>
  <c r="I7" i="7"/>
  <c r="B7" i="7"/>
  <c r="B8" i="7" s="1"/>
  <c r="B9" i="7" s="1"/>
  <c r="A7" i="7"/>
  <c r="I6" i="7"/>
  <c r="E6" i="7"/>
  <c r="B6" i="7"/>
  <c r="J5" i="7"/>
  <c r="I5" i="7"/>
  <c r="I4" i="7"/>
  <c r="E4" i="7"/>
  <c r="J3" i="7"/>
  <c r="H69" i="7" s="1"/>
  <c r="I3" i="7"/>
  <c r="J71" i="7" s="1"/>
  <c r="B3" i="7"/>
  <c r="B4" i="7" s="1"/>
  <c r="B5" i="7" s="1"/>
  <c r="A3" i="7"/>
  <c r="A4" i="7" s="1"/>
  <c r="A5" i="7" s="1"/>
  <c r="I2" i="7"/>
  <c r="J76" i="7" s="1"/>
  <c r="E2" i="7"/>
  <c r="G74" i="7" s="1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1" i="5"/>
  <c r="F101" i="5"/>
  <c r="C102" i="5"/>
  <c r="C103" i="5"/>
  <c r="C104" i="5"/>
  <c r="C105" i="5"/>
  <c r="C106" i="5"/>
  <c r="C107" i="5"/>
  <c r="C108" i="5"/>
  <c r="C101" i="5"/>
  <c r="B102" i="5"/>
  <c r="B103" i="5"/>
  <c r="B104" i="5"/>
  <c r="B105" i="5"/>
  <c r="B106" i="5"/>
  <c r="B107" i="5"/>
  <c r="B108" i="5"/>
  <c r="J77" i="5"/>
  <c r="I77" i="5"/>
  <c r="I76" i="5"/>
  <c r="E76" i="5"/>
  <c r="J75" i="5"/>
  <c r="I75" i="5"/>
  <c r="I74" i="5"/>
  <c r="E74" i="5"/>
  <c r="J72" i="5"/>
  <c r="I72" i="5"/>
  <c r="I71" i="5"/>
  <c r="E71" i="5"/>
  <c r="J70" i="5"/>
  <c r="I70" i="5"/>
  <c r="I69" i="5"/>
  <c r="E69" i="5"/>
  <c r="J67" i="5"/>
  <c r="I67" i="5"/>
  <c r="I66" i="5"/>
  <c r="E66" i="5"/>
  <c r="J65" i="5"/>
  <c r="I65" i="5"/>
  <c r="I64" i="5"/>
  <c r="E64" i="5"/>
  <c r="J59" i="5"/>
  <c r="I59" i="5"/>
  <c r="I58" i="5"/>
  <c r="E58" i="5"/>
  <c r="J57" i="5"/>
  <c r="I57" i="5"/>
  <c r="I56" i="5"/>
  <c r="E56" i="5"/>
  <c r="J54" i="5"/>
  <c r="I54" i="5"/>
  <c r="I53" i="5"/>
  <c r="E53" i="5"/>
  <c r="J52" i="5"/>
  <c r="I52" i="5"/>
  <c r="I51" i="5"/>
  <c r="E51" i="5"/>
  <c r="J49" i="5"/>
  <c r="I49" i="5"/>
  <c r="I48" i="5"/>
  <c r="E48" i="5"/>
  <c r="J47" i="5"/>
  <c r="I47" i="5"/>
  <c r="I46" i="5"/>
  <c r="E46" i="5"/>
  <c r="J44" i="5"/>
  <c r="I44" i="5"/>
  <c r="I43" i="5"/>
  <c r="E43" i="5"/>
  <c r="J42" i="5"/>
  <c r="I42" i="5"/>
  <c r="I41" i="5"/>
  <c r="E41" i="5"/>
  <c r="J36" i="5"/>
  <c r="I36" i="5"/>
  <c r="I35" i="5"/>
  <c r="E35" i="5"/>
  <c r="J34" i="5"/>
  <c r="I34" i="5"/>
  <c r="I33" i="5"/>
  <c r="E33" i="5"/>
  <c r="J30" i="5"/>
  <c r="I30" i="5"/>
  <c r="I29" i="5"/>
  <c r="E29" i="5"/>
  <c r="J28" i="5"/>
  <c r="I28" i="5"/>
  <c r="I27" i="5"/>
  <c r="E27" i="5"/>
  <c r="J25" i="5"/>
  <c r="I25" i="5"/>
  <c r="I24" i="5"/>
  <c r="E24" i="5"/>
  <c r="J23" i="5"/>
  <c r="I23" i="5"/>
  <c r="I22" i="5"/>
  <c r="E22" i="5"/>
  <c r="J20" i="5"/>
  <c r="I20" i="5"/>
  <c r="I19" i="5"/>
  <c r="E19" i="5"/>
  <c r="J18" i="5"/>
  <c r="I18" i="5"/>
  <c r="I17" i="5"/>
  <c r="E17" i="5"/>
  <c r="J15" i="5"/>
  <c r="I15" i="5"/>
  <c r="I14" i="5"/>
  <c r="E14" i="5"/>
  <c r="J13" i="5"/>
  <c r="I13" i="5"/>
  <c r="I12" i="5"/>
  <c r="E12" i="5"/>
  <c r="J10" i="5"/>
  <c r="I10" i="5"/>
  <c r="I9" i="5"/>
  <c r="E9" i="5"/>
  <c r="J8" i="5"/>
  <c r="I8" i="5"/>
  <c r="I7" i="5"/>
  <c r="E7" i="5"/>
  <c r="J5" i="5"/>
  <c r="I5" i="5"/>
  <c r="I4" i="5"/>
  <c r="E4" i="5"/>
  <c r="J3" i="5"/>
  <c r="I3" i="5"/>
  <c r="I2" i="5"/>
  <c r="E2" i="5"/>
  <c r="A75" i="5"/>
  <c r="A76" i="5" s="1"/>
  <c r="A77" i="5" s="1"/>
  <c r="A70" i="5"/>
  <c r="A71" i="5" s="1"/>
  <c r="A72" i="5" s="1"/>
  <c r="A65" i="5"/>
  <c r="A66" i="5" s="1"/>
  <c r="A67" i="5" s="1"/>
  <c r="A57" i="5"/>
  <c r="A58" i="5" s="1"/>
  <c r="A59" i="5" s="1"/>
  <c r="A52" i="5"/>
  <c r="A53" i="5" s="1"/>
  <c r="A54" i="5" s="1"/>
  <c r="A47" i="5"/>
  <c r="A48" i="5" s="1"/>
  <c r="A49" i="5" s="1"/>
  <c r="A42" i="5"/>
  <c r="A43" i="5" s="1"/>
  <c r="A44" i="5" s="1"/>
  <c r="A39" i="5"/>
  <c r="A34" i="5"/>
  <c r="A35" i="5" s="1"/>
  <c r="A36" i="5" s="1"/>
  <c r="A28" i="5"/>
  <c r="A29" i="5" s="1"/>
  <c r="A30" i="5" s="1"/>
  <c r="A23" i="5"/>
  <c r="A24" i="5" s="1"/>
  <c r="A25" i="5" s="1"/>
  <c r="A18" i="5"/>
  <c r="A19" i="5" s="1"/>
  <c r="A20" i="5" s="1"/>
  <c r="A13" i="5"/>
  <c r="A14" i="5" s="1"/>
  <c r="A15" i="5" s="1"/>
  <c r="A8" i="5"/>
  <c r="A9" i="5" s="1"/>
  <c r="A10" i="5" s="1"/>
  <c r="B7" i="5"/>
  <c r="B12" i="5" s="1"/>
  <c r="B3" i="5"/>
  <c r="B4" i="5" s="1"/>
  <c r="B5" i="5" s="1"/>
  <c r="A3" i="5"/>
  <c r="B128" i="4"/>
  <c r="A134" i="4"/>
  <c r="A3" i="4"/>
  <c r="A4" i="4" s="1"/>
  <c r="A5" i="4" s="1"/>
  <c r="A6" i="4" s="1"/>
  <c r="A7" i="4" s="1"/>
  <c r="A8" i="4" s="1"/>
  <c r="A9" i="4" s="1"/>
  <c r="A10" i="4" s="1"/>
  <c r="A12" i="4" s="1"/>
  <c r="A13" i="4" s="1"/>
  <c r="A14" i="4" s="1"/>
  <c r="A15" i="4" s="1"/>
  <c r="A16" i="4" s="1"/>
  <c r="A17" i="4" s="1"/>
  <c r="A18" i="4" s="1"/>
  <c r="A19" i="4" s="1"/>
  <c r="A21" i="4" s="1"/>
  <c r="A22" i="4" s="1"/>
  <c r="A23" i="4" s="1"/>
  <c r="A24" i="4" s="1"/>
  <c r="A25" i="4" s="1"/>
  <c r="A26" i="4" s="1"/>
  <c r="A27" i="4" s="1"/>
  <c r="A28" i="4" s="1"/>
  <c r="A30" i="4" s="1"/>
  <c r="A31" i="4" s="1"/>
  <c r="A32" i="4" s="1"/>
  <c r="A33" i="4" s="1"/>
  <c r="A34" i="4" s="1"/>
  <c r="A35" i="4" s="1"/>
  <c r="A36" i="4" s="1"/>
  <c r="A37" i="4" s="1"/>
  <c r="A39" i="4" s="1"/>
  <c r="A40" i="4" s="1"/>
  <c r="A41" i="4" s="1"/>
  <c r="A42" i="4" s="1"/>
  <c r="A43" i="4" s="1"/>
  <c r="A44" i="4" s="1"/>
  <c r="A45" i="4" s="1"/>
  <c r="A46" i="4" s="1"/>
  <c r="A48" i="4" s="1"/>
  <c r="A49" i="4" s="1"/>
  <c r="A50" i="4" s="1"/>
  <c r="A51" i="4" s="1"/>
  <c r="A52" i="4" s="1"/>
  <c r="A53" i="4" s="1"/>
  <c r="A54" i="4" s="1"/>
  <c r="A55" i="4" s="1"/>
  <c r="A57" i="4" s="1"/>
  <c r="A58" i="4" s="1"/>
  <c r="A59" i="4" s="1"/>
  <c r="A60" i="4" s="1"/>
  <c r="A61" i="4" s="1"/>
  <c r="A62" i="4" s="1"/>
  <c r="A63" i="4" s="1"/>
  <c r="A65" i="4" s="1"/>
  <c r="A67" i="4" s="1"/>
  <c r="A68" i="4" s="1"/>
  <c r="A69" i="4" s="1"/>
  <c r="A70" i="4" s="1"/>
  <c r="A71" i="4" s="1"/>
  <c r="A72" i="4" s="1"/>
  <c r="A73" i="4" s="1"/>
  <c r="A74" i="4" s="1"/>
  <c r="A76" i="4" s="1"/>
  <c r="A77" i="4" s="1"/>
  <c r="A78" i="4" s="1"/>
  <c r="A79" i="4" s="1"/>
  <c r="A80" i="4" s="1"/>
  <c r="A81" i="4" s="1"/>
  <c r="A82" i="4" s="1"/>
  <c r="A83" i="4" s="1"/>
  <c r="A85" i="4" s="1"/>
  <c r="A86" i="4" s="1"/>
  <c r="A87" i="4" s="1"/>
  <c r="A88" i="4" s="1"/>
  <c r="A89" i="4" s="1"/>
  <c r="A90" i="4" s="1"/>
  <c r="A91" i="4" s="1"/>
  <c r="A92" i="4" s="1"/>
  <c r="A94" i="4" s="1"/>
  <c r="A95" i="4" s="1"/>
  <c r="A96" i="4" s="1"/>
  <c r="A97" i="4" s="1"/>
  <c r="A98" i="4" s="1"/>
  <c r="A99" i="4" s="1"/>
  <c r="A100" i="4" s="1"/>
  <c r="A101" i="4" s="1"/>
  <c r="A103" i="4" s="1"/>
  <c r="A104" i="4" s="1"/>
  <c r="A105" i="4" s="1"/>
  <c r="A106" i="4" s="1"/>
  <c r="A107" i="4" s="1"/>
  <c r="A108" i="4" s="1"/>
  <c r="A109" i="4" s="1"/>
  <c r="A110" i="4" s="1"/>
  <c r="A112" i="4" s="1"/>
  <c r="A113" i="4" s="1"/>
  <c r="A114" i="4" s="1"/>
  <c r="A115" i="4" s="1"/>
  <c r="A116" i="4" s="1"/>
  <c r="A117" i="4" s="1"/>
  <c r="A118" i="4" s="1"/>
  <c r="A119" i="4" s="1"/>
  <c r="A121" i="4" s="1"/>
  <c r="A122" i="4" s="1"/>
  <c r="A123" i="4" s="1"/>
  <c r="A124" i="4" s="1"/>
  <c r="A125" i="4" s="1"/>
  <c r="A126" i="4" s="1"/>
  <c r="A127" i="4" s="1"/>
  <c r="A128" i="4" s="1"/>
  <c r="A130" i="4" s="1"/>
  <c r="A131" i="4" s="1"/>
  <c r="A132" i="4" s="1"/>
  <c r="B3" i="4"/>
  <c r="B4" i="4" s="1"/>
  <c r="B5" i="4" s="1"/>
  <c r="B6" i="4" s="1"/>
  <c r="B7" i="4" s="1"/>
  <c r="B8" i="4" s="1"/>
  <c r="B9" i="4" s="1"/>
  <c r="B10" i="4" s="1"/>
  <c r="B11" i="4"/>
  <c r="B20" i="4" s="1"/>
  <c r="B29" i="4" s="1"/>
  <c r="B38" i="4" s="1"/>
  <c r="B47" i="4" s="1"/>
  <c r="B56" i="4" s="1"/>
  <c r="B64" i="4" s="1"/>
  <c r="H91" i="2"/>
  <c r="H2" i="2"/>
  <c r="I135" i="2"/>
  <c r="H135" i="2"/>
  <c r="I134" i="2"/>
  <c r="H134" i="2"/>
  <c r="I133" i="2"/>
  <c r="H133" i="2"/>
  <c r="H132" i="2"/>
  <c r="H131" i="2"/>
  <c r="H130" i="2"/>
  <c r="D130" i="2"/>
  <c r="H129" i="2"/>
  <c r="D129" i="2"/>
  <c r="H128" i="2"/>
  <c r="D128" i="2"/>
  <c r="I126" i="2"/>
  <c r="H126" i="2"/>
  <c r="I125" i="2"/>
  <c r="H125" i="2"/>
  <c r="I124" i="2"/>
  <c r="H124" i="2"/>
  <c r="H123" i="2"/>
  <c r="H122" i="2"/>
  <c r="H121" i="2"/>
  <c r="D121" i="2"/>
  <c r="H120" i="2"/>
  <c r="D120" i="2"/>
  <c r="H119" i="2"/>
  <c r="D119" i="2"/>
  <c r="I114" i="2"/>
  <c r="H114" i="2"/>
  <c r="I113" i="2"/>
  <c r="H113" i="2"/>
  <c r="I112" i="2"/>
  <c r="H112" i="2"/>
  <c r="H111" i="2"/>
  <c r="H110" i="2"/>
  <c r="H109" i="2"/>
  <c r="D109" i="2"/>
  <c r="H108" i="2"/>
  <c r="D108" i="2"/>
  <c r="H107" i="2"/>
  <c r="D107" i="2"/>
  <c r="I105" i="2"/>
  <c r="H105" i="2"/>
  <c r="I104" i="2"/>
  <c r="H104" i="2"/>
  <c r="I103" i="2"/>
  <c r="H103" i="2"/>
  <c r="H102" i="2"/>
  <c r="H101" i="2"/>
  <c r="H100" i="2"/>
  <c r="D100" i="2"/>
  <c r="H99" i="2"/>
  <c r="D99" i="2"/>
  <c r="H98" i="2"/>
  <c r="D98" i="2"/>
  <c r="I96" i="2"/>
  <c r="H96" i="2"/>
  <c r="I95" i="2"/>
  <c r="H95" i="2"/>
  <c r="I94" i="2"/>
  <c r="H94" i="2"/>
  <c r="H93" i="2"/>
  <c r="H92" i="2"/>
  <c r="D91" i="2"/>
  <c r="H90" i="2"/>
  <c r="D90" i="2"/>
  <c r="H89" i="2"/>
  <c r="D89" i="2"/>
  <c r="I87" i="2"/>
  <c r="H87" i="2"/>
  <c r="I86" i="2"/>
  <c r="H86" i="2"/>
  <c r="I85" i="2"/>
  <c r="H85" i="2"/>
  <c r="H84" i="2"/>
  <c r="H83" i="2"/>
  <c r="H82" i="2"/>
  <c r="D82" i="2"/>
  <c r="H81" i="2"/>
  <c r="D81" i="2"/>
  <c r="H80" i="2"/>
  <c r="D80" i="2"/>
  <c r="I75" i="2"/>
  <c r="H75" i="2"/>
  <c r="I74" i="2"/>
  <c r="H74" i="2"/>
  <c r="I73" i="2"/>
  <c r="H73" i="2"/>
  <c r="H72" i="2"/>
  <c r="H71" i="2"/>
  <c r="H70" i="2"/>
  <c r="D70" i="2"/>
  <c r="H69" i="2"/>
  <c r="D69" i="2"/>
  <c r="H68" i="2"/>
  <c r="D68" i="2"/>
  <c r="D43" i="2"/>
  <c r="I9" i="2"/>
  <c r="I35" i="2"/>
  <c r="I18" i="2"/>
  <c r="H24" i="2"/>
  <c r="H23" i="2"/>
  <c r="G176" i="2"/>
  <c r="E176" i="2"/>
  <c r="G175" i="2"/>
  <c r="E175" i="2"/>
  <c r="G174" i="2"/>
  <c r="E174" i="2"/>
  <c r="G173" i="2"/>
  <c r="E173" i="2"/>
  <c r="G172" i="2"/>
  <c r="E172" i="2"/>
  <c r="G171" i="2"/>
  <c r="E171" i="2"/>
  <c r="G170" i="2"/>
  <c r="E170" i="2"/>
  <c r="G169" i="2"/>
  <c r="E169" i="2"/>
  <c r="G159" i="2"/>
  <c r="G160" i="2"/>
  <c r="G161" i="2"/>
  <c r="G162" i="2"/>
  <c r="G163" i="2"/>
  <c r="G164" i="2"/>
  <c r="G165" i="2"/>
  <c r="G166" i="2"/>
  <c r="E159" i="2"/>
  <c r="E160" i="2"/>
  <c r="E161" i="2"/>
  <c r="E162" i="2"/>
  <c r="E163" i="2"/>
  <c r="E164" i="2"/>
  <c r="E165" i="2"/>
  <c r="E166" i="2"/>
  <c r="I16" i="2"/>
  <c r="H13" i="2"/>
  <c r="I17" i="2"/>
  <c r="I65" i="2"/>
  <c r="D41" i="2"/>
  <c r="H41" i="2"/>
  <c r="H66" i="2"/>
  <c r="H65" i="2"/>
  <c r="H64" i="2"/>
  <c r="H63" i="2"/>
  <c r="H62" i="2"/>
  <c r="H61" i="2"/>
  <c r="H60" i="2"/>
  <c r="H59" i="2"/>
  <c r="H57" i="2"/>
  <c r="H56" i="2"/>
  <c r="H55" i="2"/>
  <c r="H54" i="2"/>
  <c r="H53" i="2"/>
  <c r="H52" i="2"/>
  <c r="H51" i="2"/>
  <c r="H50" i="2"/>
  <c r="H48" i="2"/>
  <c r="H47" i="2"/>
  <c r="H46" i="2"/>
  <c r="H45" i="2"/>
  <c r="H44" i="2"/>
  <c r="H43" i="2"/>
  <c r="H42" i="2"/>
  <c r="H32" i="2"/>
  <c r="I7" i="2"/>
  <c r="H35" i="2"/>
  <c r="H34" i="2"/>
  <c r="H33" i="2"/>
  <c r="H36" i="2"/>
  <c r="H31" i="2"/>
  <c r="H30" i="2"/>
  <c r="H29" i="2"/>
  <c r="H27" i="2"/>
  <c r="H26" i="2"/>
  <c r="H25" i="2"/>
  <c r="H22" i="2"/>
  <c r="H21" i="2"/>
  <c r="H20" i="2"/>
  <c r="H18" i="2"/>
  <c r="H17" i="2"/>
  <c r="H16" i="2"/>
  <c r="H15" i="2"/>
  <c r="H14" i="2"/>
  <c r="H12" i="2"/>
  <c r="H11" i="2"/>
  <c r="H9" i="2"/>
  <c r="H8" i="2"/>
  <c r="H7" i="2"/>
  <c r="H6" i="2"/>
  <c r="H5" i="2"/>
  <c r="H4" i="2"/>
  <c r="H3" i="2"/>
  <c r="I25" i="2"/>
  <c r="I26" i="2"/>
  <c r="I27" i="2"/>
  <c r="I34" i="2"/>
  <c r="I36" i="2"/>
  <c r="I46" i="2"/>
  <c r="I47" i="2"/>
  <c r="I48" i="2"/>
  <c r="I55" i="2"/>
  <c r="I56" i="2"/>
  <c r="I57" i="2"/>
  <c r="I64" i="2"/>
  <c r="I66" i="2"/>
  <c r="D11" i="2"/>
  <c r="D12" i="2"/>
  <c r="D13" i="2"/>
  <c r="D20" i="2"/>
  <c r="D21" i="2"/>
  <c r="D22" i="2"/>
  <c r="D29" i="2"/>
  <c r="D30" i="2"/>
  <c r="D31" i="2"/>
  <c r="D42" i="2"/>
  <c r="D50" i="2"/>
  <c r="D51" i="2"/>
  <c r="D52" i="2"/>
  <c r="D59" i="2"/>
  <c r="D60" i="2"/>
  <c r="D61" i="2"/>
  <c r="I8" i="2"/>
  <c r="D3" i="2"/>
  <c r="D4" i="2"/>
  <c r="D2" i="2"/>
  <c r="A12" i="2"/>
  <c r="A21" i="2" s="1"/>
  <c r="A30" i="2" s="1"/>
  <c r="A42" i="2" s="1"/>
  <c r="A51" i="2" s="1"/>
  <c r="A60" i="2" s="1"/>
  <c r="Q55" i="11" l="1"/>
  <c r="Q80" i="11"/>
  <c r="Q62" i="11"/>
  <c r="Q37" i="11"/>
  <c r="Q52" i="11"/>
  <c r="Q43" i="11"/>
  <c r="Q40" i="11"/>
  <c r="Q49" i="11"/>
  <c r="Q22" i="11"/>
  <c r="R66" i="11"/>
  <c r="Q10" i="11"/>
  <c r="R11" i="11"/>
  <c r="R20" i="11"/>
  <c r="R23" i="11"/>
  <c r="R14" i="11"/>
  <c r="Q83" i="11"/>
  <c r="Q4" i="11"/>
  <c r="Q16" i="11"/>
  <c r="R5" i="11"/>
  <c r="R8" i="11"/>
  <c r="R26" i="11"/>
  <c r="R78" i="11"/>
  <c r="R75" i="11"/>
  <c r="R81" i="11"/>
  <c r="R60" i="11"/>
  <c r="R69" i="11"/>
  <c r="R72" i="11"/>
  <c r="R63" i="11"/>
  <c r="R32" i="11"/>
  <c r="R38" i="11"/>
  <c r="R35" i="11"/>
  <c r="R41" i="11"/>
  <c r="R44" i="11"/>
  <c r="R47" i="11"/>
  <c r="R50" i="11"/>
  <c r="R53" i="11"/>
  <c r="R17" i="11"/>
  <c r="Q28" i="11"/>
  <c r="Q13" i="11"/>
  <c r="R2" i="11"/>
  <c r="B7" i="10"/>
  <c r="B8" i="10" s="1"/>
  <c r="B9" i="10" s="1"/>
  <c r="B11" i="9"/>
  <c r="B12" i="9" s="1"/>
  <c r="B13" i="9" s="1"/>
  <c r="B14" i="9" s="1"/>
  <c r="B15" i="9" s="1"/>
  <c r="B16" i="9" s="1"/>
  <c r="B17" i="9" s="1"/>
  <c r="B26" i="9"/>
  <c r="B19" i="9"/>
  <c r="B20" i="9" s="1"/>
  <c r="B21" i="9" s="1"/>
  <c r="B22" i="9" s="1"/>
  <c r="B23" i="9" s="1"/>
  <c r="B24" i="9" s="1"/>
  <c r="B25" i="9" s="1"/>
  <c r="B14" i="10"/>
  <c r="B11" i="10"/>
  <c r="B12" i="10" s="1"/>
  <c r="B13" i="10" s="1"/>
  <c r="J180" i="8"/>
  <c r="F180" i="8"/>
  <c r="K180" i="8"/>
  <c r="D180" i="8"/>
  <c r="D103" i="5"/>
  <c r="B23" i="8"/>
  <c r="B24" i="8" s="1"/>
  <c r="B25" i="8" s="1"/>
  <c r="B26" i="8" s="1"/>
  <c r="B27" i="8" s="1"/>
  <c r="B28" i="8" s="1"/>
  <c r="B29" i="8" s="1"/>
  <c r="B30" i="8" s="1"/>
  <c r="B36" i="8"/>
  <c r="B13" i="8"/>
  <c r="B14" i="8" s="1"/>
  <c r="B15" i="8" s="1"/>
  <c r="B16" i="8" s="1"/>
  <c r="B17" i="8" s="1"/>
  <c r="B18" i="8" s="1"/>
  <c r="B19" i="8" s="1"/>
  <c r="B20" i="8" s="1"/>
  <c r="J184" i="8"/>
  <c r="F189" i="8"/>
  <c r="K185" i="8"/>
  <c r="K173" i="8"/>
  <c r="J183" i="8"/>
  <c r="F188" i="8"/>
  <c r="K172" i="8"/>
  <c r="K183" i="8"/>
  <c r="F187" i="8"/>
  <c r="F175" i="8"/>
  <c r="K179" i="8"/>
  <c r="K190" i="8"/>
  <c r="F174" i="8"/>
  <c r="K178" i="8"/>
  <c r="J188" i="8"/>
  <c r="F173" i="8"/>
  <c r="K177" i="8"/>
  <c r="J187" i="8"/>
  <c r="F172" i="8"/>
  <c r="J175" i="8"/>
  <c r="K176" i="8"/>
  <c r="F183" i="8"/>
  <c r="J186" i="8"/>
  <c r="K187" i="8"/>
  <c r="J172" i="8"/>
  <c r="F177" i="8"/>
  <c r="K184" i="8"/>
  <c r="F176" i="8"/>
  <c r="J179" i="8"/>
  <c r="J190" i="8"/>
  <c r="J178" i="8"/>
  <c r="F186" i="8"/>
  <c r="J189" i="8"/>
  <c r="J177" i="8"/>
  <c r="F185" i="8"/>
  <c r="K189" i="8"/>
  <c r="J176" i="8"/>
  <c r="F184" i="8"/>
  <c r="K188" i="8"/>
  <c r="J174" i="8"/>
  <c r="K175" i="8"/>
  <c r="F179" i="8"/>
  <c r="J185" i="8"/>
  <c r="K186" i="8"/>
  <c r="F190" i="8"/>
  <c r="J173" i="8"/>
  <c r="K174" i="8"/>
  <c r="F178" i="8"/>
  <c r="G104" i="5"/>
  <c r="G103" i="5"/>
  <c r="H101" i="5"/>
  <c r="J105" i="5"/>
  <c r="G101" i="5"/>
  <c r="G102" i="5"/>
  <c r="B30" i="7"/>
  <c r="B31" i="7" s="1"/>
  <c r="B32" i="7" s="1"/>
  <c r="B27" i="7"/>
  <c r="B28" i="7" s="1"/>
  <c r="B29" i="7" s="1"/>
  <c r="I75" i="7"/>
  <c r="J73" i="7"/>
  <c r="H74" i="7"/>
  <c r="I74" i="7" s="1"/>
  <c r="K74" i="7" s="1"/>
  <c r="J74" i="7"/>
  <c r="J75" i="7"/>
  <c r="H76" i="7"/>
  <c r="I76" i="7" s="1"/>
  <c r="K76" i="7" s="1"/>
  <c r="G69" i="7"/>
  <c r="I69" i="7" s="1"/>
  <c r="K69" i="7" s="1"/>
  <c r="G73" i="7"/>
  <c r="G71" i="7"/>
  <c r="H71" i="7"/>
  <c r="B23" i="7"/>
  <c r="B24" i="7" s="1"/>
  <c r="B25" i="7" s="1"/>
  <c r="J72" i="7"/>
  <c r="H73" i="7"/>
  <c r="J70" i="7"/>
  <c r="G72" i="7"/>
  <c r="I72" i="7" s="1"/>
  <c r="H72" i="7"/>
  <c r="G70" i="7"/>
  <c r="I70" i="7" s="1"/>
  <c r="H108" i="5"/>
  <c r="H107" i="5"/>
  <c r="H104" i="5"/>
  <c r="H105" i="5"/>
  <c r="H103" i="5"/>
  <c r="H106" i="5"/>
  <c r="H102" i="5"/>
  <c r="J107" i="5"/>
  <c r="D106" i="5"/>
  <c r="J108" i="5"/>
  <c r="J106" i="5"/>
  <c r="J102" i="5"/>
  <c r="J101" i="5"/>
  <c r="J104" i="5"/>
  <c r="D102" i="5"/>
  <c r="J103" i="5"/>
  <c r="G107" i="5"/>
  <c r="G106" i="5"/>
  <c r="G105" i="5"/>
  <c r="G108" i="5"/>
  <c r="D108" i="5"/>
  <c r="D101" i="5"/>
  <c r="D105" i="5"/>
  <c r="D104" i="5"/>
  <c r="D107" i="5"/>
  <c r="A4" i="5"/>
  <c r="A5" i="5" s="1"/>
  <c r="B13" i="5"/>
  <c r="B14" i="5" s="1"/>
  <c r="B15" i="5" s="1"/>
  <c r="B17" i="5"/>
  <c r="B8" i="5"/>
  <c r="B9" i="5" s="1"/>
  <c r="B10" i="5" s="1"/>
  <c r="B57" i="4"/>
  <c r="B58" i="4" s="1"/>
  <c r="B59" i="4" s="1"/>
  <c r="B60" i="4" s="1"/>
  <c r="B61" i="4" s="1"/>
  <c r="B62" i="4" s="1"/>
  <c r="B63" i="4" s="1"/>
  <c r="B21" i="4"/>
  <c r="B22" i="4" s="1"/>
  <c r="B23" i="4" s="1"/>
  <c r="B24" i="4" s="1"/>
  <c r="B25" i="4" s="1"/>
  <c r="B26" i="4" s="1"/>
  <c r="B27" i="4" s="1"/>
  <c r="B28" i="4" s="1"/>
  <c r="B30" i="4"/>
  <c r="B31" i="4" s="1"/>
  <c r="B32" i="4" s="1"/>
  <c r="B33" i="4" s="1"/>
  <c r="B34" i="4" s="1"/>
  <c r="B35" i="4" s="1"/>
  <c r="B36" i="4" s="1"/>
  <c r="B37" i="4" s="1"/>
  <c r="B39" i="4"/>
  <c r="B40" i="4" s="1"/>
  <c r="B41" i="4" s="1"/>
  <c r="B42" i="4" s="1"/>
  <c r="B43" i="4" s="1"/>
  <c r="B44" i="4" s="1"/>
  <c r="B45" i="4" s="1"/>
  <c r="B46" i="4" s="1"/>
  <c r="B48" i="4"/>
  <c r="B49" i="4" s="1"/>
  <c r="B50" i="4" s="1"/>
  <c r="B51" i="4" s="1"/>
  <c r="B52" i="4" s="1"/>
  <c r="B53" i="4" s="1"/>
  <c r="B54" i="4" s="1"/>
  <c r="B55" i="4" s="1"/>
  <c r="B12" i="4"/>
  <c r="B13" i="4" s="1"/>
  <c r="B14" i="4" s="1"/>
  <c r="B15" i="4" s="1"/>
  <c r="B16" i="4" s="1"/>
  <c r="B17" i="4" s="1"/>
  <c r="B18" i="4" s="1"/>
  <c r="B19" i="4" s="1"/>
  <c r="B65" i="4"/>
  <c r="B66" i="4" s="1"/>
  <c r="A69" i="2"/>
  <c r="H163" i="2"/>
  <c r="I160" i="2"/>
  <c r="H162" i="2"/>
  <c r="H169" i="2"/>
  <c r="D160" i="2"/>
  <c r="D161" i="2"/>
  <c r="D159" i="2"/>
  <c r="D164" i="2"/>
  <c r="H165" i="2"/>
  <c r="D172" i="2"/>
  <c r="D163" i="2"/>
  <c r="H171" i="2"/>
  <c r="D169" i="2"/>
  <c r="D170" i="2"/>
  <c r="D173" i="2"/>
  <c r="I175" i="2"/>
  <c r="D174" i="2"/>
  <c r="H161" i="2"/>
  <c r="I170" i="2"/>
  <c r="D176" i="2"/>
  <c r="D166" i="2"/>
  <c r="D165" i="2"/>
  <c r="D171" i="2"/>
  <c r="H166" i="2"/>
  <c r="D175" i="2"/>
  <c r="H159" i="2"/>
  <c r="H176" i="2"/>
  <c r="D162" i="2"/>
  <c r="I159" i="2"/>
  <c r="I173" i="2"/>
  <c r="H174" i="2"/>
  <c r="H170" i="2"/>
  <c r="I163" i="2"/>
  <c r="I162" i="2"/>
  <c r="I166" i="2"/>
  <c r="I171" i="2"/>
  <c r="I169" i="2"/>
  <c r="I165" i="2"/>
  <c r="I174" i="2"/>
  <c r="I161" i="2"/>
  <c r="I172" i="2"/>
  <c r="I164" i="2"/>
  <c r="I176" i="2"/>
  <c r="H172" i="2"/>
  <c r="H164" i="2"/>
  <c r="H160" i="2"/>
  <c r="H175" i="2"/>
  <c r="H173" i="2"/>
  <c r="K170" i="2"/>
  <c r="K169" i="2"/>
  <c r="K172" i="2"/>
  <c r="K175" i="2"/>
  <c r="K173" i="2"/>
  <c r="K171" i="2"/>
  <c r="K174" i="2"/>
  <c r="K176" i="2"/>
  <c r="K162" i="2"/>
  <c r="K160" i="2"/>
  <c r="K166" i="2"/>
  <c r="K164" i="2"/>
  <c r="K159" i="2"/>
  <c r="K165" i="2"/>
  <c r="K161" i="2"/>
  <c r="K163" i="2"/>
  <c r="B18" i="10" l="1"/>
  <c r="B15" i="10"/>
  <c r="B16" i="10" s="1"/>
  <c r="B17" i="10" s="1"/>
  <c r="B34" i="9"/>
  <c r="B27" i="9"/>
  <c r="B28" i="9" s="1"/>
  <c r="B29" i="9" s="1"/>
  <c r="B30" i="9" s="1"/>
  <c r="B31" i="9" s="1"/>
  <c r="B32" i="9" s="1"/>
  <c r="B33" i="9" s="1"/>
  <c r="L180" i="8"/>
  <c r="I108" i="5"/>
  <c r="K108" i="5" s="1"/>
  <c r="I101" i="5"/>
  <c r="K101" i="5" s="1"/>
  <c r="I104" i="5"/>
  <c r="K104" i="5" s="1"/>
  <c r="I102" i="5"/>
  <c r="K102" i="5" s="1"/>
  <c r="I105" i="5"/>
  <c r="K105" i="5" s="1"/>
  <c r="I106" i="5"/>
  <c r="K106" i="5" s="1"/>
  <c r="I107" i="5"/>
  <c r="K107" i="5" s="1"/>
  <c r="I103" i="5"/>
  <c r="K103" i="5" s="1"/>
  <c r="B37" i="8"/>
  <c r="B38" i="8" s="1"/>
  <c r="B39" i="8" s="1"/>
  <c r="B40" i="8" s="1"/>
  <c r="B41" i="8" s="1"/>
  <c r="B42" i="8" s="1"/>
  <c r="B43" i="8" s="1"/>
  <c r="B44" i="8" s="1"/>
  <c r="B46" i="8"/>
  <c r="L178" i="8"/>
  <c r="L179" i="8"/>
  <c r="L189" i="8"/>
  <c r="L186" i="8"/>
  <c r="L173" i="8"/>
  <c r="L184" i="8"/>
  <c r="L183" i="8"/>
  <c r="L188" i="8"/>
  <c r="L174" i="8"/>
  <c r="L176" i="8"/>
  <c r="L190" i="8"/>
  <c r="L185" i="8"/>
  <c r="L172" i="8"/>
  <c r="L177" i="8"/>
  <c r="L175" i="8"/>
  <c r="L187" i="8"/>
  <c r="K70" i="7"/>
  <c r="K75" i="7"/>
  <c r="I73" i="7"/>
  <c r="K73" i="7" s="1"/>
  <c r="B33" i="7"/>
  <c r="B34" i="7" s="1"/>
  <c r="B35" i="7" s="1"/>
  <c r="B36" i="7"/>
  <c r="I71" i="7"/>
  <c r="K71" i="7" s="1"/>
  <c r="K72" i="7"/>
  <c r="B22" i="5"/>
  <c r="B18" i="5"/>
  <c r="B19" i="5" s="1"/>
  <c r="B20" i="5" s="1"/>
  <c r="B75" i="4"/>
  <c r="B67" i="4"/>
  <c r="B68" i="4" s="1"/>
  <c r="B69" i="4" s="1"/>
  <c r="B70" i="4" s="1"/>
  <c r="B71" i="4" s="1"/>
  <c r="B72" i="4" s="1"/>
  <c r="B73" i="4" s="1"/>
  <c r="B74" i="4" s="1"/>
  <c r="A81" i="2"/>
  <c r="A90" i="2" s="1"/>
  <c r="A99" i="2" s="1"/>
  <c r="A108" i="2" s="1"/>
  <c r="A120" i="2" s="1"/>
  <c r="A129" i="2" s="1"/>
  <c r="A139" i="2" s="1"/>
  <c r="A141" i="2" s="1"/>
  <c r="A143" i="2" s="1"/>
  <c r="A77" i="2"/>
  <c r="A78" i="2" s="1"/>
  <c r="J171" i="2"/>
  <c r="J170" i="2"/>
  <c r="J174" i="2"/>
  <c r="J176" i="2"/>
  <c r="J173" i="2"/>
  <c r="J169" i="2"/>
  <c r="J172" i="2"/>
  <c r="J175" i="2"/>
  <c r="J166" i="2"/>
  <c r="J165" i="2"/>
  <c r="J160" i="2"/>
  <c r="J159" i="2"/>
  <c r="J161" i="2"/>
  <c r="J163" i="2"/>
  <c r="J164" i="2"/>
  <c r="J162" i="2"/>
  <c r="B22" i="10" l="1"/>
  <c r="B19" i="10"/>
  <c r="B20" i="10" s="1"/>
  <c r="B21" i="10" s="1"/>
  <c r="B35" i="9"/>
  <c r="B36" i="9" s="1"/>
  <c r="B37" i="9" s="1"/>
  <c r="B38" i="9" s="1"/>
  <c r="B39" i="9" s="1"/>
  <c r="B40" i="9" s="1"/>
  <c r="B41" i="9" s="1"/>
  <c r="B42" i="9"/>
  <c r="B56" i="8"/>
  <c r="B47" i="8"/>
  <c r="B48" i="8" s="1"/>
  <c r="B49" i="8" s="1"/>
  <c r="B50" i="8" s="1"/>
  <c r="B51" i="8" s="1"/>
  <c r="B52" i="8" s="1"/>
  <c r="B53" i="8" s="1"/>
  <c r="B54" i="8" s="1"/>
  <c r="B40" i="7"/>
  <c r="B37" i="7"/>
  <c r="B38" i="7" s="1"/>
  <c r="B39" i="7" s="1"/>
  <c r="B23" i="5"/>
  <c r="B24" i="5" s="1"/>
  <c r="B25" i="5" s="1"/>
  <c r="B27" i="5"/>
  <c r="B84" i="4"/>
  <c r="B76" i="4"/>
  <c r="B77" i="4" s="1"/>
  <c r="B78" i="4" s="1"/>
  <c r="B79" i="4" s="1"/>
  <c r="B80" i="4" s="1"/>
  <c r="B81" i="4" s="1"/>
  <c r="B82" i="4" s="1"/>
  <c r="B83" i="4" s="1"/>
  <c r="B50" i="9" l="1"/>
  <c r="B51" i="9" s="1"/>
  <c r="B52" i="9" s="1"/>
  <c r="B53" i="9" s="1"/>
  <c r="B54" i="9" s="1"/>
  <c r="B55" i="9" s="1"/>
  <c r="B58" i="9" s="1"/>
  <c r="B59" i="9" s="1"/>
  <c r="B43" i="9"/>
  <c r="B44" i="9" s="1"/>
  <c r="B45" i="9" s="1"/>
  <c r="B46" i="9" s="1"/>
  <c r="B47" i="9" s="1"/>
  <c r="B48" i="9" s="1"/>
  <c r="B49" i="9" s="1"/>
  <c r="B26" i="10"/>
  <c r="B23" i="10"/>
  <c r="B24" i="10" s="1"/>
  <c r="B25" i="10" s="1"/>
  <c r="B57" i="8"/>
  <c r="B58" i="8" s="1"/>
  <c r="B59" i="8" s="1"/>
  <c r="B60" i="8" s="1"/>
  <c r="B61" i="8" s="1"/>
  <c r="B62" i="8" s="1"/>
  <c r="B63" i="8" s="1"/>
  <c r="B64" i="8" s="1"/>
  <c r="B70" i="8"/>
  <c r="B44" i="7"/>
  <c r="B41" i="7"/>
  <c r="B42" i="7" s="1"/>
  <c r="B43" i="7" s="1"/>
  <c r="B28" i="5"/>
  <c r="B29" i="5" s="1"/>
  <c r="B30" i="5" s="1"/>
  <c r="B33" i="5"/>
  <c r="B93" i="4"/>
  <c r="B85" i="4"/>
  <c r="B86" i="4" s="1"/>
  <c r="B87" i="4" s="1"/>
  <c r="B88" i="4" s="1"/>
  <c r="B89" i="4" s="1"/>
  <c r="B90" i="4" s="1"/>
  <c r="B91" i="4" s="1"/>
  <c r="B92" i="4" s="1"/>
  <c r="B27" i="10" l="1"/>
  <c r="B28" i="10" s="1"/>
  <c r="B29" i="10" s="1"/>
  <c r="B30" i="10"/>
  <c r="B31" i="10" s="1"/>
  <c r="B32" i="10" s="1"/>
  <c r="B60" i="9"/>
  <c r="B56" i="9"/>
  <c r="B57" i="9" s="1"/>
  <c r="B71" i="8"/>
  <c r="B72" i="8" s="1"/>
  <c r="B73" i="8" s="1"/>
  <c r="B74" i="8" s="1"/>
  <c r="B75" i="8" s="1"/>
  <c r="B45" i="7"/>
  <c r="B46" i="7" s="1"/>
  <c r="B47" i="7" s="1"/>
  <c r="B48" i="7"/>
  <c r="B34" i="5"/>
  <c r="B35" i="5" s="1"/>
  <c r="B36" i="5" s="1"/>
  <c r="B38" i="5"/>
  <c r="B39" i="5" s="1"/>
  <c r="B41" i="5" s="1"/>
  <c r="B102" i="4"/>
  <c r="B94" i="4"/>
  <c r="B95" i="4" s="1"/>
  <c r="B96" i="4" s="1"/>
  <c r="B97" i="4" s="1"/>
  <c r="B98" i="4" s="1"/>
  <c r="B99" i="4" s="1"/>
  <c r="B100" i="4" s="1"/>
  <c r="B101" i="4" s="1"/>
  <c r="B36" i="10" l="1"/>
  <c r="B33" i="10"/>
  <c r="B34" i="10" s="1"/>
  <c r="B35" i="10" s="1"/>
  <c r="B68" i="9"/>
  <c r="B61" i="9"/>
  <c r="B62" i="9" s="1"/>
  <c r="B63" i="9" s="1"/>
  <c r="B64" i="9" s="1"/>
  <c r="B65" i="9" s="1"/>
  <c r="B66" i="9" s="1"/>
  <c r="B67" i="9" s="1"/>
  <c r="B76" i="8"/>
  <c r="B77" i="8" s="1"/>
  <c r="B78" i="8" s="1"/>
  <c r="B80" i="8"/>
  <c r="B81" i="8" s="1"/>
  <c r="B83" i="8" s="1"/>
  <c r="B84" i="8" s="1"/>
  <c r="B85" i="8" s="1"/>
  <c r="B86" i="8" s="1"/>
  <c r="B87" i="8" s="1"/>
  <c r="B88" i="8" s="1"/>
  <c r="B89" i="8" s="1"/>
  <c r="B90" i="8" s="1"/>
  <c r="B91" i="8" s="1"/>
  <c r="B52" i="7"/>
  <c r="B49" i="7"/>
  <c r="B50" i="7" s="1"/>
  <c r="B51" i="7" s="1"/>
  <c r="B42" i="5"/>
  <c r="B43" i="5" s="1"/>
  <c r="B44" i="5" s="1"/>
  <c r="B46" i="5"/>
  <c r="B111" i="4"/>
  <c r="B120" i="4" s="1"/>
  <c r="B103" i="4"/>
  <c r="B104" i="4" s="1"/>
  <c r="B105" i="4" s="1"/>
  <c r="B106" i="4" s="1"/>
  <c r="B107" i="4" s="1"/>
  <c r="B108" i="4" s="1"/>
  <c r="B109" i="4" s="1"/>
  <c r="B110" i="4" s="1"/>
  <c r="B76" i="9" l="1"/>
  <c r="B69" i="9"/>
  <c r="B70" i="9" s="1"/>
  <c r="B71" i="9" s="1"/>
  <c r="B72" i="9" s="1"/>
  <c r="B73" i="9" s="1"/>
  <c r="B74" i="9" s="1"/>
  <c r="B75" i="9" s="1"/>
  <c r="B40" i="10"/>
  <c r="B37" i="10"/>
  <c r="B38" i="10" s="1"/>
  <c r="B39" i="10" s="1"/>
  <c r="B93" i="8"/>
  <c r="B104" i="8" s="1"/>
  <c r="B56" i="7"/>
  <c r="B53" i="7"/>
  <c r="B54" i="7" s="1"/>
  <c r="B55" i="7" s="1"/>
  <c r="B47" i="5"/>
  <c r="B48" i="5" s="1"/>
  <c r="B49" i="5" s="1"/>
  <c r="B51" i="5"/>
  <c r="B121" i="4"/>
  <c r="B122" i="4" s="1"/>
  <c r="B123" i="4" s="1"/>
  <c r="B124" i="4" s="1"/>
  <c r="B125" i="4" s="1"/>
  <c r="B126" i="4" s="1"/>
  <c r="B127" i="4" s="1"/>
  <c r="B129" i="4"/>
  <c r="B112" i="4"/>
  <c r="B113" i="4" s="1"/>
  <c r="B114" i="4" s="1"/>
  <c r="B115" i="4" s="1"/>
  <c r="B116" i="4" s="1"/>
  <c r="B117" i="4" s="1"/>
  <c r="B118" i="4" s="1"/>
  <c r="B119" i="4" s="1"/>
  <c r="B41" i="10" l="1"/>
  <c r="B42" i="10" s="1"/>
  <c r="B43" i="10" s="1"/>
  <c r="B44" i="10"/>
  <c r="B77" i="9"/>
  <c r="B78" i="9" s="1"/>
  <c r="B79" i="9" s="1"/>
  <c r="B80" i="9" s="1"/>
  <c r="B81" i="9" s="1"/>
  <c r="B82" i="9" s="1"/>
  <c r="B83" i="9" s="1"/>
  <c r="B84" i="9"/>
  <c r="B94" i="8"/>
  <c r="B95" i="8" s="1"/>
  <c r="B96" i="8" s="1"/>
  <c r="B97" i="8" s="1"/>
  <c r="B98" i="8" s="1"/>
  <c r="B99" i="8" s="1"/>
  <c r="B100" i="8" s="1"/>
  <c r="B101" i="8" s="1"/>
  <c r="B105" i="8"/>
  <c r="B106" i="8" s="1"/>
  <c r="B107" i="8" s="1"/>
  <c r="B108" i="8" s="1"/>
  <c r="B109" i="8" s="1"/>
  <c r="B110" i="8" s="1"/>
  <c r="B111" i="8" s="1"/>
  <c r="B112" i="8" s="1"/>
  <c r="B114" i="8"/>
  <c r="B57" i="7"/>
  <c r="B58" i="7" s="1"/>
  <c r="B59" i="7" s="1"/>
  <c r="B60" i="7"/>
  <c r="B56" i="5"/>
  <c r="B52" i="5"/>
  <c r="B53" i="5" s="1"/>
  <c r="B54" i="5" s="1"/>
  <c r="B133" i="4"/>
  <c r="B134" i="4" s="1"/>
  <c r="B130" i="4"/>
  <c r="B131" i="4" s="1"/>
  <c r="B132" i="4" s="1"/>
  <c r="B85" i="9" l="1"/>
  <c r="B86" i="9" s="1"/>
  <c r="B87" i="9" s="1"/>
  <c r="B88" i="9" s="1"/>
  <c r="B89" i="9" s="1"/>
  <c r="B90" i="9" s="1"/>
  <c r="B91" i="9" s="1"/>
  <c r="B92" i="9"/>
  <c r="B45" i="10"/>
  <c r="B46" i="10" s="1"/>
  <c r="B47" i="10" s="1"/>
  <c r="B48" i="10"/>
  <c r="B115" i="8"/>
  <c r="B116" i="8" s="1"/>
  <c r="B117" i="8" s="1"/>
  <c r="B118" i="8" s="1"/>
  <c r="B119" i="8" s="1"/>
  <c r="B120" i="8" s="1"/>
  <c r="B121" i="8" s="1"/>
  <c r="B122" i="8" s="1"/>
  <c r="B124" i="8"/>
  <c r="B64" i="7"/>
  <c r="B65" i="7" s="1"/>
  <c r="B61" i="7"/>
  <c r="B62" i="7" s="1"/>
  <c r="B63" i="7" s="1"/>
  <c r="B64" i="5"/>
  <c r="B57" i="5"/>
  <c r="B58" i="5" s="1"/>
  <c r="B59" i="5" s="1"/>
  <c r="B49" i="10" l="1"/>
  <c r="B50" i="10" s="1"/>
  <c r="B51" i="10" s="1"/>
  <c r="B52" i="10"/>
  <c r="B93" i="9"/>
  <c r="B94" i="9" s="1"/>
  <c r="B95" i="9" s="1"/>
  <c r="B96" i="9" s="1"/>
  <c r="B97" i="9" s="1"/>
  <c r="B98" i="9" s="1"/>
  <c r="B99" i="9" s="1"/>
  <c r="B100" i="9"/>
  <c r="B125" i="8"/>
  <c r="B126" i="8" s="1"/>
  <c r="B127" i="8" s="1"/>
  <c r="B128" i="8" s="1"/>
  <c r="B129" i="8" s="1"/>
  <c r="B130" i="8" s="1"/>
  <c r="B131" i="8" s="1"/>
  <c r="B132" i="8" s="1"/>
  <c r="B138" i="8"/>
  <c r="B65" i="5"/>
  <c r="B66" i="5" s="1"/>
  <c r="B67" i="5" s="1"/>
  <c r="B69" i="5"/>
  <c r="B108" i="9" l="1"/>
  <c r="B109" i="9" s="1"/>
  <c r="B110" i="9" s="1"/>
  <c r="B111" i="9" s="1"/>
  <c r="B112" i="9" s="1"/>
  <c r="B101" i="9"/>
  <c r="B102" i="9" s="1"/>
  <c r="B103" i="9" s="1"/>
  <c r="B104" i="9" s="1"/>
  <c r="B105" i="9" s="1"/>
  <c r="B106" i="9" s="1"/>
  <c r="B107" i="9" s="1"/>
  <c r="B56" i="10"/>
  <c r="B53" i="10"/>
  <c r="B54" i="10" s="1"/>
  <c r="B55" i="10" s="1"/>
  <c r="B139" i="8"/>
  <c r="B140" i="8" s="1"/>
  <c r="B141" i="8" s="1"/>
  <c r="B142" i="8" s="1"/>
  <c r="B143" i="8" s="1"/>
  <c r="B144" i="8" s="1"/>
  <c r="B145" i="8" s="1"/>
  <c r="B146" i="8" s="1"/>
  <c r="B148" i="8"/>
  <c r="B149" i="8" s="1"/>
  <c r="B70" i="5"/>
  <c r="B71" i="5" s="1"/>
  <c r="B72" i="5" s="1"/>
  <c r="B74" i="5"/>
  <c r="B57" i="10" l="1"/>
  <c r="B58" i="10" s="1"/>
  <c r="B59" i="10" s="1"/>
  <c r="B113" i="9"/>
  <c r="B114" i="9" s="1"/>
  <c r="B115" i="9" s="1"/>
  <c r="B150" i="8"/>
  <c r="B151" i="8" s="1"/>
  <c r="B152" i="8" s="1"/>
  <c r="B75" i="5"/>
  <c r="B76" i="5" s="1"/>
  <c r="B77" i="5" s="1"/>
  <c r="B79" i="5"/>
  <c r="B80" i="5" s="1"/>
  <c r="B153" i="8" l="1"/>
  <c r="B154" i="8" s="1"/>
  <c r="B155" i="8" s="1"/>
  <c r="B156" i="8" s="1"/>
  <c r="B158" i="8"/>
  <c r="B159" i="8" l="1"/>
  <c r="D177" i="8"/>
  <c r="D176" i="8"/>
  <c r="D186" i="8"/>
  <c r="D174" i="8"/>
  <c r="D184" i="8"/>
  <c r="D173" i="8"/>
  <c r="D183" i="8"/>
  <c r="D190" i="8"/>
  <c r="D179" i="8"/>
  <c r="D188" i="8"/>
  <c r="D187" i="8"/>
  <c r="D175" i="8"/>
  <c r="D185" i="8"/>
  <c r="D189" i="8"/>
  <c r="D178" i="8"/>
  <c r="D17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<sst xmlns="http://schemas.openxmlformats.org/spreadsheetml/2006/main" count="3622" uniqueCount="149">
  <si>
    <t>Date</t>
  </si>
  <si>
    <t>Time</t>
  </si>
  <si>
    <t>Court</t>
  </si>
  <si>
    <t>Court Set up</t>
  </si>
  <si>
    <t>Team 1</t>
  </si>
  <si>
    <t>Team 2</t>
  </si>
  <si>
    <t>Umpiring</t>
  </si>
  <si>
    <t>Pack Up</t>
  </si>
  <si>
    <t>Round 1</t>
  </si>
  <si>
    <t>6:30pm</t>
  </si>
  <si>
    <t>Court 1</t>
  </si>
  <si>
    <t>T2</t>
  </si>
  <si>
    <t>v</t>
  </si>
  <si>
    <t>T6</t>
  </si>
  <si>
    <t>7:15pm</t>
  </si>
  <si>
    <t>T1</t>
  </si>
  <si>
    <t>T5</t>
  </si>
  <si>
    <t>8:00pm</t>
  </si>
  <si>
    <t>T7</t>
  </si>
  <si>
    <t>T3</t>
  </si>
  <si>
    <t>Court 2</t>
  </si>
  <si>
    <t>T4</t>
  </si>
  <si>
    <t>T8</t>
  </si>
  <si>
    <t>Court 3</t>
  </si>
  <si>
    <t>Round 2</t>
  </si>
  <si>
    <t>Round 3</t>
  </si>
  <si>
    <t>Round 4</t>
  </si>
  <si>
    <t>Round 5</t>
  </si>
  <si>
    <t>Round 6</t>
  </si>
  <si>
    <t>Round 7</t>
  </si>
  <si>
    <t>Number of set up</t>
  </si>
  <si>
    <t>Number of umpires</t>
  </si>
  <si>
    <t>Number of pack up</t>
  </si>
  <si>
    <t>Duties</t>
  </si>
  <si>
    <t>Round 8</t>
  </si>
  <si>
    <t>Round 9</t>
  </si>
  <si>
    <t>Round 10</t>
  </si>
  <si>
    <t>Round 11</t>
  </si>
  <si>
    <t>Round 12</t>
  </si>
  <si>
    <t>Round 13</t>
  </si>
  <si>
    <t>Round 14</t>
  </si>
  <si>
    <t>Minor Semi Final</t>
  </si>
  <si>
    <t>Major Semi Final</t>
  </si>
  <si>
    <t>Grand Final</t>
  </si>
  <si>
    <t>Games</t>
  </si>
  <si>
    <t>G2</t>
  </si>
  <si>
    <t>G6</t>
  </si>
  <si>
    <t>G5</t>
  </si>
  <si>
    <t>G3</t>
  </si>
  <si>
    <t>G4</t>
  </si>
  <si>
    <t>G7</t>
  </si>
  <si>
    <t>G1</t>
  </si>
  <si>
    <t>G8</t>
  </si>
  <si>
    <t>School Holidays</t>
  </si>
  <si>
    <t>Dunlop Volley</t>
  </si>
  <si>
    <t>Chewblockers</t>
  </si>
  <si>
    <t>Wilsons</t>
  </si>
  <si>
    <t>That's What She Set</t>
  </si>
  <si>
    <t>Netflicks</t>
  </si>
  <si>
    <t>Practice Safe Sets</t>
  </si>
  <si>
    <t>Round</t>
  </si>
  <si>
    <t>Holidays</t>
  </si>
  <si>
    <t>Semi Final</t>
  </si>
  <si>
    <t>tba</t>
  </si>
  <si>
    <t>Team</t>
  </si>
  <si>
    <t>Pack up</t>
  </si>
  <si>
    <t>Set up</t>
  </si>
  <si>
    <t>Total duties</t>
  </si>
  <si>
    <t>Net duties</t>
  </si>
  <si>
    <t>Total games</t>
  </si>
  <si>
    <t>Easties</t>
  </si>
  <si>
    <t>Fitzroy Rebels</t>
  </si>
  <si>
    <t>Kiss My Ace</t>
  </si>
  <si>
    <t>Mixed Bag</t>
  </si>
  <si>
    <t>On the Ball</t>
  </si>
  <si>
    <t>Rhythm &amp; Spikes</t>
  </si>
  <si>
    <t>The Village</t>
  </si>
  <si>
    <t>Sparkles</t>
  </si>
  <si>
    <t>Tot Games</t>
  </si>
  <si>
    <t>Back In The Day</t>
  </si>
  <si>
    <t>CANT</t>
  </si>
  <si>
    <t>Casual Sets</t>
  </si>
  <si>
    <t>Fitzroy Ferals</t>
  </si>
  <si>
    <t>Mixed Mayhem</t>
  </si>
  <si>
    <t>Pan Set</t>
  </si>
  <si>
    <t>Ballers</t>
  </si>
  <si>
    <t>Fitxroy Freaks</t>
  </si>
  <si>
    <t>Fitxroy Rejects</t>
  </si>
  <si>
    <t>The Upsetters</t>
  </si>
  <si>
    <t>Semi Finals</t>
  </si>
  <si>
    <t>Note: this is a Wednesday game held on Grand final night with Mixed Volleyball</t>
  </si>
  <si>
    <t>Whoopsies</t>
  </si>
  <si>
    <t>BYE</t>
  </si>
  <si>
    <t>A grade</t>
  </si>
  <si>
    <t>A Grade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</si>
  <si>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</si>
  <si>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</si>
  <si>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</si>
  <si>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</si>
  <si>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</si>
  <si>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</si>
  <si>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</si>
  <si>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</si>
  <si>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</si>
  <si>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</si>
  <si>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</si>
  <si>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</si>
  <si>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</si>
  <si>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</si>
  <si>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For</t>
  </si>
  <si>
    <t>Against</t>
  </si>
  <si>
    <t>Points</t>
  </si>
  <si>
    <t>Deductions</t>
  </si>
  <si>
    <t>Total</t>
  </si>
  <si>
    <t>% F/A</t>
  </si>
  <si>
    <t>Bye</t>
  </si>
  <si>
    <t>B Grade</t>
  </si>
  <si>
    <t>Ladies Grade</t>
  </si>
  <si>
    <t>WOF</t>
  </si>
  <si>
    <t>LOF</t>
  </si>
  <si>
    <t>Ladeis Grade</t>
  </si>
  <si>
    <t>Fitzroy Freaks</t>
  </si>
  <si>
    <t>Fitzroy Rejects</t>
  </si>
  <si>
    <t>On The Ball</t>
  </si>
  <si>
    <t>Wendy</t>
  </si>
  <si>
    <t>Al</t>
  </si>
  <si>
    <t>Rebecca</t>
  </si>
  <si>
    <t>Lakoda</t>
  </si>
  <si>
    <t>Sally</t>
  </si>
  <si>
    <t>Laura</t>
  </si>
  <si>
    <t>Luke</t>
  </si>
  <si>
    <t>Bill</t>
  </si>
  <si>
    <t>Zach</t>
  </si>
  <si>
    <t>Bailey</t>
  </si>
  <si>
    <t>Aleeha</t>
  </si>
  <si>
    <t>Vic</t>
  </si>
  <si>
    <t>Jaydene</t>
  </si>
  <si>
    <t>Rick</t>
  </si>
  <si>
    <t>Lyka</t>
  </si>
  <si>
    <t>Sam</t>
  </si>
  <si>
    <t>Emma</t>
  </si>
  <si>
    <t>Forfeit</t>
  </si>
  <si>
    <t>Stevie</t>
  </si>
  <si>
    <t>Keara</t>
  </si>
  <si>
    <t>Forfiet</t>
  </si>
  <si>
    <t>Pirri</t>
  </si>
  <si>
    <t>Tyla</t>
  </si>
  <si>
    <t>no game</t>
  </si>
  <si>
    <t>7o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</si>
</sst>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14" fontId="1" fillId="2" borderId="1" xfId="0" applyNumberFormat="1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center" vertical="center"/>
    </xf>
    <xf numFmtId="14" fontId="1" fillId="0" borderId="2" xfId="0" applyNumberFormat="1" applyFont="1" applyBorder="1" applyAlignment="1">
      <alignment horizontal="centerContinuous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Continuous" vertical="center" wrapText="1"/>
    </xf>
    <xf numFmtId="0" fontId="1" fillId="4" borderId="2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Continuous" vertical="center"/>
    </xf>
    <xf numFmtId="16" fontId="1" fillId="5" borderId="2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Continuous" vertical="center" wrapText="1"/>
    </xf>
    <xf numFmtId="20" fontId="1" fillId="0" borderId="2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Continuous" vertical="center" wrapText="1"/>
    </xf>
    <xf numFmtId="0" fontId="0" fillId="0" borderId="0" xfId="0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0" fillId="5" borderId="2" xfId="0" applyFill="1" applyBorder="1" applyAlignment="1">
      <alignment horizontal="center"/>
    </xf>
    <xf numFmtId="16" fontId="1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7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49" fontId="0" fillId="6" borderId="2" xfId="0" applyNumberFormat="1" applyFill="1" applyBorder="1"/>
    <xf numFmtId="0" fontId="0" fillId="6" borderId="2" xfId="0" applyFill="1" applyBorder="1"/>
    <xf numFmtId="0" fontId="1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10" borderId="1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center"/>
    </xf>
    <xf numFmtId="9" fontId="0" fillId="9" borderId="7" xfId="0" applyNumberFormat="1" applyFill="1" applyBorder="1" applyAlignment="1">
      <alignment horizontal="center"/>
    </xf>
    <xf numFmtId="9" fontId="0" fillId="10" borderId="2" xfId="0" applyNumberFormat="1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9" fontId="0" fillId="11" borderId="7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center"/>
    </xf>
    <xf numFmtId="9" fontId="0" fillId="12" borderId="2" xfId="0" applyNumberForma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9" fontId="0" fillId="13" borderId="7" xfId="0" applyNumberFormat="1" applyFill="1" applyBorder="1" applyAlignment="1">
      <alignment horizontal="center"/>
    </xf>
    <xf numFmtId="0" fontId="1" fillId="14" borderId="1" xfId="0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left" vertical="center"/>
    </xf>
    <xf numFmtId="0" fontId="0" fillId="14" borderId="2" xfId="0" applyFill="1" applyBorder="1" applyAlignment="1">
      <alignment horizontal="center"/>
    </xf>
    <xf numFmtId="9" fontId="0" fillId="14" borderId="2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" fontId="1" fillId="5" borderId="3" xfId="0" applyNumberFormat="1" applyFont="1" applyFill="1" applyBorder="1" applyAlignment="1">
      <alignment horizontal="center" vertical="center"/>
    </xf>
    <xf numFmtId="16" fontId="1" fillId="5" borderId="4" xfId="0" applyNumberFormat="1" applyFont="1" applyFill="1" applyBorder="1" applyAlignment="1">
      <alignment horizontal="center" vertical="center"/>
    </xf>
    <xf numFmtId="16" fontId="1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7284-D694-44A9-B988-4C33099E0916}">
  <dimension ref="A1:M190"/>
  <sheetViews>
    <sheetView topLeftCell="A170" zoomScaleNormal="100" workbookViewId="0">
      <selection activeCell="E183" sqref="E183:E190"/>
    </sheetView>
  </sheetViews>
  <sheetFormatPr defaultColWidth="8.77734375" defaultRowHeight="15" customHeight="1" x14ac:dyDescent="0.3"/>
  <cols>
    <col min="1" max="1" width="11.109375" style="2" customWidth="1"/>
    <col min="2" max="2" width="10.44140625" style="31" customWidth="1"/>
    <col min="3" max="3" width="7.77734375" style="2" customWidth="1"/>
    <col min="4" max="4" width="11" style="2" customWidth="1"/>
    <col min="5" max="5" width="19.44140625" style="2" customWidth="1"/>
    <col min="6" max="6" width="19.21875" style="2" customWidth="1"/>
    <col min="7" max="7" width="4.21875" style="2" customWidth="1"/>
    <col min="8" max="10" width="19.21875" style="2" customWidth="1"/>
    <col min="11" max="12" width="8.77734375" style="2"/>
    <col min="13" max="13" width="19.77734375" style="2" bestFit="1" customWidth="1"/>
    <col min="14" max="16384" width="8.77734375" style="2"/>
  </cols>
  <sheetData>
    <row r="1" spans="1:10" ht="15" customHeight="1" x14ac:dyDescent="0.3">
      <c r="A1" s="12" t="s">
        <v>60</v>
      </c>
      <c r="B1" s="3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/>
      <c r="H1" s="12" t="s">
        <v>5</v>
      </c>
      <c r="I1" s="12" t="s">
        <v>6</v>
      </c>
      <c r="J1" s="12" t="s">
        <v>7</v>
      </c>
    </row>
    <row r="2" spans="1:10" ht="15" customHeight="1" x14ac:dyDescent="0.3">
      <c r="A2" s="4" t="s">
        <v>8</v>
      </c>
      <c r="B2" s="38">
        <v>46071</v>
      </c>
      <c r="C2" s="4" t="s">
        <v>9</v>
      </c>
      <c r="D2" s="4" t="s">
        <v>10</v>
      </c>
      <c r="E2" s="4" t="str">
        <f>F2</f>
        <v>CANT</v>
      </c>
      <c r="F2" s="5" t="s">
        <v>80</v>
      </c>
      <c r="G2" s="5" t="s">
        <v>12</v>
      </c>
      <c r="H2" s="5" t="s">
        <v>83</v>
      </c>
      <c r="I2" s="4" t="str">
        <f>F5</f>
        <v>Back In The Day</v>
      </c>
      <c r="J2" s="4"/>
    </row>
    <row r="3" spans="1:10" ht="15" customHeight="1" x14ac:dyDescent="0.3">
      <c r="A3" s="4" t="str">
        <f>A2</f>
        <v>Round 1</v>
      </c>
      <c r="B3" s="38">
        <f>B2</f>
        <v>46071</v>
      </c>
      <c r="C3" s="4" t="s">
        <v>9</v>
      </c>
      <c r="D3" s="4" t="s">
        <v>20</v>
      </c>
      <c r="E3" s="4" t="str">
        <f t="shared" ref="E3:E4" si="0">F3</f>
        <v>Ballers</v>
      </c>
      <c r="F3" s="7" t="s">
        <v>85</v>
      </c>
      <c r="G3" s="7" t="s">
        <v>12</v>
      </c>
      <c r="H3" s="7" t="s">
        <v>58</v>
      </c>
      <c r="I3" s="4" t="str">
        <f>F6</f>
        <v>Fitxroy Freaks</v>
      </c>
      <c r="J3" s="4"/>
    </row>
    <row r="4" spans="1:10" ht="15" customHeight="1" x14ac:dyDescent="0.3">
      <c r="A4" s="4" t="str">
        <f t="shared" ref="A4:A9" si="1">A3</f>
        <v>Round 1</v>
      </c>
      <c r="B4" s="38">
        <f t="shared" ref="B4:B9" si="2">B3</f>
        <v>46071</v>
      </c>
      <c r="C4" s="4" t="s">
        <v>9</v>
      </c>
      <c r="D4" s="4" t="s">
        <v>23</v>
      </c>
      <c r="E4" s="4" t="str">
        <f t="shared" si="0"/>
        <v>Wilsons</v>
      </c>
      <c r="F4" s="7" t="s">
        <v>56</v>
      </c>
      <c r="G4" s="7" t="s">
        <v>12</v>
      </c>
      <c r="H4" s="7" t="s">
        <v>91</v>
      </c>
      <c r="I4" s="4" t="str">
        <f>H6</f>
        <v>That's What She Set</v>
      </c>
      <c r="J4" s="4"/>
    </row>
    <row r="5" spans="1:10" ht="15" customHeight="1" x14ac:dyDescent="0.3">
      <c r="A5" s="4" t="str">
        <f t="shared" si="1"/>
        <v>Round 1</v>
      </c>
      <c r="B5" s="38">
        <f t="shared" si="2"/>
        <v>46071</v>
      </c>
      <c r="C5" s="4" t="s">
        <v>14</v>
      </c>
      <c r="D5" s="4" t="s">
        <v>10</v>
      </c>
      <c r="E5" s="4"/>
      <c r="F5" s="5" t="s">
        <v>79</v>
      </c>
      <c r="G5" s="5" t="s">
        <v>12</v>
      </c>
      <c r="H5" s="5" t="s">
        <v>82</v>
      </c>
      <c r="I5" s="4" t="str">
        <f>H2</f>
        <v>Mixed Mayhem</v>
      </c>
      <c r="J5" s="4"/>
    </row>
    <row r="6" spans="1:10" ht="15" customHeight="1" x14ac:dyDescent="0.3">
      <c r="A6" s="4" t="str">
        <f t="shared" si="1"/>
        <v>Round 1</v>
      </c>
      <c r="B6" s="38">
        <f t="shared" si="2"/>
        <v>46071</v>
      </c>
      <c r="C6" s="4" t="s">
        <v>14</v>
      </c>
      <c r="D6" s="4" t="s">
        <v>20</v>
      </c>
      <c r="E6" s="4"/>
      <c r="F6" s="7" t="s">
        <v>86</v>
      </c>
      <c r="G6" s="7" t="s">
        <v>12</v>
      </c>
      <c r="H6" s="7" t="s">
        <v>57</v>
      </c>
      <c r="I6" s="4" t="str">
        <f>H3</f>
        <v>Netflicks</v>
      </c>
      <c r="J6" s="4"/>
    </row>
    <row r="7" spans="1:10" ht="15" customHeight="1" x14ac:dyDescent="0.3">
      <c r="A7" s="4" t="str">
        <f t="shared" si="1"/>
        <v>Round 1</v>
      </c>
      <c r="B7" s="38">
        <f t="shared" si="2"/>
        <v>46071</v>
      </c>
      <c r="C7" s="4" t="s">
        <v>14</v>
      </c>
      <c r="D7" s="4" t="s">
        <v>23</v>
      </c>
      <c r="E7" s="4"/>
      <c r="F7" s="5" t="s">
        <v>55</v>
      </c>
      <c r="G7" s="5" t="s">
        <v>12</v>
      </c>
      <c r="H7" s="5" t="s">
        <v>59</v>
      </c>
      <c r="I7" s="4" t="str">
        <f>F8</f>
        <v>Pan Set</v>
      </c>
      <c r="J7" s="4" t="str">
        <f>F7</f>
        <v>Chewblockers</v>
      </c>
    </row>
    <row r="8" spans="1:10" ht="15" customHeight="1" x14ac:dyDescent="0.3">
      <c r="A8" s="4" t="str">
        <f t="shared" si="1"/>
        <v>Round 1</v>
      </c>
      <c r="B8" s="38">
        <f t="shared" si="2"/>
        <v>46071</v>
      </c>
      <c r="C8" s="4" t="s">
        <v>17</v>
      </c>
      <c r="D8" s="4" t="s">
        <v>10</v>
      </c>
      <c r="E8" s="4"/>
      <c r="F8" s="5" t="s">
        <v>84</v>
      </c>
      <c r="G8" s="5" t="s">
        <v>12</v>
      </c>
      <c r="H8" s="5" t="s">
        <v>81</v>
      </c>
      <c r="I8" s="4" t="str">
        <f>F7</f>
        <v>Chewblockers</v>
      </c>
      <c r="J8" s="4" t="str">
        <f>H8</f>
        <v>Casual Sets</v>
      </c>
    </row>
    <row r="9" spans="1:10" ht="15" customHeight="1" x14ac:dyDescent="0.3">
      <c r="A9" s="4" t="str">
        <f t="shared" si="1"/>
        <v>Round 1</v>
      </c>
      <c r="B9" s="38">
        <f t="shared" si="2"/>
        <v>46071</v>
      </c>
      <c r="C9" s="4" t="s">
        <v>17</v>
      </c>
      <c r="D9" s="4" t="s">
        <v>20</v>
      </c>
      <c r="E9" s="4"/>
      <c r="F9" s="7" t="s">
        <v>88</v>
      </c>
      <c r="G9" s="7" t="s">
        <v>12</v>
      </c>
      <c r="H9" s="7" t="s">
        <v>87</v>
      </c>
      <c r="I9" s="4" t="str">
        <f>H7</f>
        <v>Practice Safe Sets</v>
      </c>
      <c r="J9" s="4" t="str">
        <f>F9</f>
        <v>The Upsetters</v>
      </c>
    </row>
    <row r="10" spans="1:10" ht="15" customHeight="1" x14ac:dyDescent="0.3">
      <c r="A10" s="4" t="str">
        <f t="shared" ref="A10" si="3">A9</f>
        <v>Round 1</v>
      </c>
      <c r="B10" s="38">
        <f t="shared" ref="B10" si="4">B9</f>
        <v>46071</v>
      </c>
      <c r="C10" s="4"/>
      <c r="D10" s="4" t="s">
        <v>92</v>
      </c>
      <c r="E10" s="4" t="s">
        <v>54</v>
      </c>
      <c r="F10" s="4"/>
      <c r="G10" s="4"/>
      <c r="H10" s="4"/>
      <c r="I10" s="4"/>
      <c r="J10" s="4"/>
    </row>
    <row r="11" spans="1:10" ht="15" customHeight="1" x14ac:dyDescent="0.3">
      <c r="B11" s="33"/>
    </row>
    <row r="12" spans="1:10" ht="15" customHeight="1" x14ac:dyDescent="0.3">
      <c r="A12" s="4" t="s">
        <v>24</v>
      </c>
      <c r="B12" s="38">
        <f>B2+7</f>
        <v>46078</v>
      </c>
      <c r="C12" s="11" t="s">
        <v>9</v>
      </c>
      <c r="D12" s="4" t="s">
        <v>10</v>
      </c>
      <c r="E12" s="4" t="str">
        <f t="shared" ref="E12:E72" si="5">F12</f>
        <v>Chewblockers</v>
      </c>
      <c r="F12" s="5" t="s">
        <v>55</v>
      </c>
      <c r="G12" s="5" t="s">
        <v>12</v>
      </c>
      <c r="H12" s="5" t="s">
        <v>80</v>
      </c>
      <c r="I12" s="4" t="str">
        <f>F15</f>
        <v>Fitzroy Ferals</v>
      </c>
      <c r="J12" s="4"/>
    </row>
    <row r="13" spans="1:10" ht="15" customHeight="1" x14ac:dyDescent="0.3">
      <c r="A13" s="4" t="str">
        <f>A12</f>
        <v>Round 2</v>
      </c>
      <c r="B13" s="38">
        <f>B12</f>
        <v>46078</v>
      </c>
      <c r="C13" s="11" t="s">
        <v>9</v>
      </c>
      <c r="D13" s="4" t="s">
        <v>20</v>
      </c>
      <c r="E13" s="4" t="str">
        <f t="shared" si="5"/>
        <v>Casual Sets</v>
      </c>
      <c r="F13" s="5" t="s">
        <v>81</v>
      </c>
      <c r="G13" s="5" t="s">
        <v>12</v>
      </c>
      <c r="H13" s="5" t="s">
        <v>83</v>
      </c>
      <c r="I13" s="4" t="str">
        <f>H15</f>
        <v>Practice Safe Sets</v>
      </c>
      <c r="J13" s="4"/>
    </row>
    <row r="14" spans="1:10" ht="15" customHeight="1" x14ac:dyDescent="0.3">
      <c r="A14" s="4" t="str">
        <f t="shared" ref="A14:A20" si="6">A13</f>
        <v>Round 2</v>
      </c>
      <c r="B14" s="38">
        <f t="shared" ref="B14:B20" si="7">B13</f>
        <v>46078</v>
      </c>
      <c r="C14" s="11" t="s">
        <v>9</v>
      </c>
      <c r="D14" s="4" t="s">
        <v>23</v>
      </c>
      <c r="E14" s="4" t="str">
        <f t="shared" si="5"/>
        <v>Wilsons</v>
      </c>
      <c r="F14" s="7" t="s">
        <v>56</v>
      </c>
      <c r="G14" s="7" t="s">
        <v>12</v>
      </c>
      <c r="H14" s="7" t="s">
        <v>86</v>
      </c>
      <c r="I14" s="4" t="str">
        <f>H17</f>
        <v>That's What She Set</v>
      </c>
      <c r="J14" s="4"/>
    </row>
    <row r="15" spans="1:10" ht="15" customHeight="1" x14ac:dyDescent="0.3">
      <c r="A15" s="4" t="str">
        <f t="shared" si="6"/>
        <v>Round 2</v>
      </c>
      <c r="B15" s="38">
        <f t="shared" si="7"/>
        <v>46078</v>
      </c>
      <c r="C15" s="4" t="s">
        <v>14</v>
      </c>
      <c r="D15" s="4" t="s">
        <v>10</v>
      </c>
      <c r="E15" s="4"/>
      <c r="F15" s="5" t="s">
        <v>82</v>
      </c>
      <c r="G15" s="5" t="s">
        <v>12</v>
      </c>
      <c r="H15" s="5" t="s">
        <v>59</v>
      </c>
      <c r="I15" s="4" t="str">
        <f>H12</f>
        <v>CANT</v>
      </c>
      <c r="J15" s="4"/>
    </row>
    <row r="16" spans="1:10" ht="15" customHeight="1" x14ac:dyDescent="0.3">
      <c r="A16" s="4" t="str">
        <f t="shared" si="6"/>
        <v>Round 2</v>
      </c>
      <c r="B16" s="38">
        <f t="shared" si="7"/>
        <v>46078</v>
      </c>
      <c r="C16" s="4" t="s">
        <v>14</v>
      </c>
      <c r="D16" s="4" t="s">
        <v>20</v>
      </c>
      <c r="E16" s="4"/>
      <c r="F16" s="5" t="s">
        <v>54</v>
      </c>
      <c r="G16" s="5" t="s">
        <v>12</v>
      </c>
      <c r="H16" s="5" t="s">
        <v>84</v>
      </c>
      <c r="I16" s="4" t="str">
        <f>H13</f>
        <v>Mixed Mayhem</v>
      </c>
      <c r="J16" s="4"/>
    </row>
    <row r="17" spans="1:10" ht="15" customHeight="1" x14ac:dyDescent="0.3">
      <c r="A17" s="4" t="str">
        <f t="shared" si="6"/>
        <v>Round 2</v>
      </c>
      <c r="B17" s="38">
        <f t="shared" si="7"/>
        <v>46078</v>
      </c>
      <c r="C17" s="4" t="s">
        <v>14</v>
      </c>
      <c r="D17" s="4" t="s">
        <v>23</v>
      </c>
      <c r="E17" s="4"/>
      <c r="F17" s="7" t="s">
        <v>87</v>
      </c>
      <c r="G17" s="7" t="s">
        <v>12</v>
      </c>
      <c r="H17" s="7" t="s">
        <v>57</v>
      </c>
      <c r="I17" s="4" t="str">
        <f>H14</f>
        <v>Fitxroy Freaks</v>
      </c>
      <c r="J17" s="4" t="str">
        <f>F17</f>
        <v>Fitxroy Rejects</v>
      </c>
    </row>
    <row r="18" spans="1:10" ht="15" customHeight="1" x14ac:dyDescent="0.3">
      <c r="A18" s="4" t="str">
        <f t="shared" si="6"/>
        <v>Round 2</v>
      </c>
      <c r="B18" s="38">
        <f t="shared" si="7"/>
        <v>46078</v>
      </c>
      <c r="C18" s="4" t="s">
        <v>17</v>
      </c>
      <c r="D18" s="4" t="s">
        <v>10</v>
      </c>
      <c r="E18" s="4"/>
      <c r="F18" s="7" t="s">
        <v>58</v>
      </c>
      <c r="G18" s="7" t="s">
        <v>12</v>
      </c>
      <c r="H18" s="7" t="s">
        <v>91</v>
      </c>
      <c r="I18" s="4" t="str">
        <f>F16</f>
        <v>Dunlop Volley</v>
      </c>
      <c r="J18" s="4" t="str">
        <f>F18</f>
        <v>Netflicks</v>
      </c>
    </row>
    <row r="19" spans="1:10" ht="15" customHeight="1" x14ac:dyDescent="0.3">
      <c r="A19" s="4" t="str">
        <f t="shared" si="6"/>
        <v>Round 2</v>
      </c>
      <c r="B19" s="38">
        <f t="shared" si="7"/>
        <v>46078</v>
      </c>
      <c r="C19" s="4" t="s">
        <v>17</v>
      </c>
      <c r="D19" s="4" t="s">
        <v>20</v>
      </c>
      <c r="E19" s="4"/>
      <c r="F19" s="7" t="s">
        <v>85</v>
      </c>
      <c r="G19" s="7" t="s">
        <v>12</v>
      </c>
      <c r="H19" s="7" t="s">
        <v>88</v>
      </c>
      <c r="I19" s="4" t="str">
        <f>H16</f>
        <v>Pan Set</v>
      </c>
      <c r="J19" s="4" t="str">
        <f>F19</f>
        <v>Ballers</v>
      </c>
    </row>
    <row r="20" spans="1:10" ht="15" customHeight="1" x14ac:dyDescent="0.3">
      <c r="A20" s="4" t="str">
        <f t="shared" si="6"/>
        <v>Round 2</v>
      </c>
      <c r="B20" s="38">
        <f t="shared" si="7"/>
        <v>46078</v>
      </c>
      <c r="C20" s="4"/>
      <c r="D20" s="4" t="s">
        <v>92</v>
      </c>
      <c r="E20" s="4" t="s">
        <v>79</v>
      </c>
      <c r="F20" s="4"/>
      <c r="G20" s="4"/>
      <c r="H20" s="4"/>
      <c r="I20" s="4"/>
      <c r="J20" s="4"/>
    </row>
    <row r="21" spans="1:10" ht="15" customHeight="1" x14ac:dyDescent="0.3">
      <c r="B21" s="33"/>
    </row>
    <row r="22" spans="1:10" ht="15" customHeight="1" x14ac:dyDescent="0.3">
      <c r="A22" s="4" t="s">
        <v>25</v>
      </c>
      <c r="B22" s="38">
        <f t="shared" ref="B22" si="8">B12+7</f>
        <v>46085</v>
      </c>
      <c r="C22" s="11" t="s">
        <v>9</v>
      </c>
      <c r="D22" s="4" t="s">
        <v>10</v>
      </c>
      <c r="E22" s="4" t="str">
        <f t="shared" ref="E22" si="9">F22</f>
        <v>That's What She Set</v>
      </c>
      <c r="F22" s="7" t="s">
        <v>57</v>
      </c>
      <c r="G22" s="7" t="s">
        <v>12</v>
      </c>
      <c r="H22" s="7" t="s">
        <v>85</v>
      </c>
      <c r="I22" s="4" t="str">
        <f>F27</f>
        <v>Whoopsies</v>
      </c>
      <c r="J22" s="4"/>
    </row>
    <row r="23" spans="1:10" ht="15" customHeight="1" x14ac:dyDescent="0.3">
      <c r="A23" s="4" t="str">
        <f>A22</f>
        <v>Round 3</v>
      </c>
      <c r="B23" s="38">
        <f t="shared" ref="B23:B43" si="10">B22</f>
        <v>46085</v>
      </c>
      <c r="C23" s="11" t="s">
        <v>9</v>
      </c>
      <c r="D23" s="4" t="s">
        <v>20</v>
      </c>
      <c r="E23" s="4" t="str">
        <f t="shared" si="5"/>
        <v>Wilsons</v>
      </c>
      <c r="F23" s="7" t="s">
        <v>56</v>
      </c>
      <c r="G23" s="7" t="s">
        <v>12</v>
      </c>
      <c r="H23" s="7" t="s">
        <v>58</v>
      </c>
      <c r="I23" s="4" t="str">
        <f>H27</f>
        <v>The Upsetters</v>
      </c>
      <c r="J23" s="4"/>
    </row>
    <row r="24" spans="1:10" ht="15" customHeight="1" x14ac:dyDescent="0.3">
      <c r="A24" s="4" t="str">
        <f t="shared" ref="A24:A30" si="11">A23</f>
        <v>Round 3</v>
      </c>
      <c r="B24" s="38">
        <f t="shared" si="10"/>
        <v>46085</v>
      </c>
      <c r="C24" s="11" t="s">
        <v>9</v>
      </c>
      <c r="D24" s="4" t="s">
        <v>23</v>
      </c>
      <c r="E24" s="4" t="str">
        <f t="shared" si="5"/>
        <v>Fitxroy Freaks</v>
      </c>
      <c r="F24" s="7" t="s">
        <v>86</v>
      </c>
      <c r="G24" s="7" t="s">
        <v>12</v>
      </c>
      <c r="H24" s="7" t="s">
        <v>87</v>
      </c>
      <c r="I24" s="4" t="str">
        <f>F25</f>
        <v>Practice Safe Sets</v>
      </c>
      <c r="J24" s="4"/>
    </row>
    <row r="25" spans="1:10" ht="15" customHeight="1" x14ac:dyDescent="0.3">
      <c r="A25" s="4" t="str">
        <f t="shared" si="11"/>
        <v>Round 3</v>
      </c>
      <c r="B25" s="38">
        <f t="shared" si="10"/>
        <v>46085</v>
      </c>
      <c r="C25" s="4" t="s">
        <v>14</v>
      </c>
      <c r="D25" s="4" t="s">
        <v>10</v>
      </c>
      <c r="E25" s="4"/>
      <c r="F25" s="5" t="s">
        <v>59</v>
      </c>
      <c r="G25" s="5" t="s">
        <v>12</v>
      </c>
      <c r="H25" s="5" t="s">
        <v>84</v>
      </c>
      <c r="I25" s="4" t="str">
        <f>F29</f>
        <v>Casual Sets</v>
      </c>
      <c r="J25" s="4"/>
    </row>
    <row r="26" spans="1:10" ht="15" customHeight="1" x14ac:dyDescent="0.3">
      <c r="A26" s="4" t="str">
        <f t="shared" si="11"/>
        <v>Round 3</v>
      </c>
      <c r="B26" s="38">
        <f t="shared" si="10"/>
        <v>46085</v>
      </c>
      <c r="C26" s="4" t="s">
        <v>14</v>
      </c>
      <c r="D26" s="4" t="s">
        <v>20</v>
      </c>
      <c r="E26" s="4"/>
      <c r="F26" s="5" t="s">
        <v>55</v>
      </c>
      <c r="G26" s="5" t="s">
        <v>12</v>
      </c>
      <c r="H26" s="5" t="s">
        <v>82</v>
      </c>
      <c r="I26" s="4" t="str">
        <f>H29</f>
        <v>Dunlop Volley</v>
      </c>
      <c r="J26" s="4"/>
    </row>
    <row r="27" spans="1:10" ht="15" customHeight="1" x14ac:dyDescent="0.3">
      <c r="A27" s="4" t="str">
        <f t="shared" si="11"/>
        <v>Round 3</v>
      </c>
      <c r="B27" s="38">
        <f t="shared" si="10"/>
        <v>46085</v>
      </c>
      <c r="C27" s="4" t="s">
        <v>14</v>
      </c>
      <c r="D27" s="4" t="s">
        <v>23</v>
      </c>
      <c r="E27" s="4"/>
      <c r="F27" s="7" t="s">
        <v>91</v>
      </c>
      <c r="G27" s="7" t="s">
        <v>12</v>
      </c>
      <c r="H27" s="7" t="s">
        <v>88</v>
      </c>
      <c r="I27" s="4" t="str">
        <f>H24</f>
        <v>Fitxroy Rejects</v>
      </c>
      <c r="J27" s="4" t="str">
        <f t="shared" ref="J27:J29" si="12">H27</f>
        <v>The Upsetters</v>
      </c>
    </row>
    <row r="28" spans="1:10" ht="15" customHeight="1" x14ac:dyDescent="0.3">
      <c r="A28" s="4" t="str">
        <f t="shared" si="11"/>
        <v>Round 3</v>
      </c>
      <c r="B28" s="38">
        <f t="shared" si="10"/>
        <v>46085</v>
      </c>
      <c r="C28" s="4" t="s">
        <v>17</v>
      </c>
      <c r="D28" s="4" t="s">
        <v>10</v>
      </c>
      <c r="E28" s="4"/>
      <c r="F28" s="5" t="s">
        <v>79</v>
      </c>
      <c r="G28" s="5" t="s">
        <v>12</v>
      </c>
      <c r="H28" s="5" t="s">
        <v>83</v>
      </c>
      <c r="I28" s="4" t="str">
        <f>F26</f>
        <v>Chewblockers</v>
      </c>
      <c r="J28" s="4" t="str">
        <f t="shared" si="12"/>
        <v>Mixed Mayhem</v>
      </c>
    </row>
    <row r="29" spans="1:10" ht="15" customHeight="1" x14ac:dyDescent="0.3">
      <c r="A29" s="4" t="str">
        <f t="shared" si="11"/>
        <v>Round 3</v>
      </c>
      <c r="B29" s="38">
        <f t="shared" si="10"/>
        <v>46085</v>
      </c>
      <c r="C29" s="4" t="s">
        <v>17</v>
      </c>
      <c r="D29" s="4" t="s">
        <v>20</v>
      </c>
      <c r="E29" s="4"/>
      <c r="F29" s="5" t="s">
        <v>81</v>
      </c>
      <c r="G29" s="5" t="s">
        <v>12</v>
      </c>
      <c r="H29" s="5" t="s">
        <v>54</v>
      </c>
      <c r="I29" s="4" t="str">
        <f>H26</f>
        <v>Fitzroy Ferals</v>
      </c>
      <c r="J29" s="4" t="str">
        <f t="shared" si="12"/>
        <v>Dunlop Volley</v>
      </c>
    </row>
    <row r="30" spans="1:10" ht="15" customHeight="1" x14ac:dyDescent="0.3">
      <c r="A30" s="4" t="str">
        <f t="shared" si="11"/>
        <v>Round 3</v>
      </c>
      <c r="B30" s="38">
        <f t="shared" si="10"/>
        <v>46085</v>
      </c>
      <c r="C30" s="4"/>
      <c r="D30" s="4" t="s">
        <v>92</v>
      </c>
      <c r="E30" s="4" t="s">
        <v>80</v>
      </c>
      <c r="F30" s="4"/>
      <c r="G30" s="4"/>
      <c r="H30" s="4"/>
      <c r="I30" s="4"/>
      <c r="J30" s="4"/>
    </row>
    <row r="31" spans="1:10" ht="15" customHeight="1" x14ac:dyDescent="0.3">
      <c r="B31" s="33"/>
    </row>
    <row r="32" spans="1:10" ht="15" customHeight="1" x14ac:dyDescent="0.3">
      <c r="B32" s="33"/>
    </row>
    <row r="33" spans="1:10" ht="15" customHeight="1" x14ac:dyDescent="0.3">
      <c r="B33" s="33"/>
    </row>
    <row r="34" spans="1:10" ht="15" customHeight="1" x14ac:dyDescent="0.3">
      <c r="B34" s="33"/>
    </row>
    <row r="35" spans="1:10" ht="15" customHeight="1" x14ac:dyDescent="0.3">
      <c r="A35" s="12" t="s">
        <v>60</v>
      </c>
      <c r="B35" s="32" t="s">
        <v>0</v>
      </c>
      <c r="C35" s="12" t="s">
        <v>1</v>
      </c>
      <c r="D35" s="12" t="s">
        <v>2</v>
      </c>
      <c r="E35" s="12" t="s">
        <v>3</v>
      </c>
      <c r="F35" s="12" t="s">
        <v>4</v>
      </c>
      <c r="G35" s="12"/>
      <c r="H35" s="12" t="s">
        <v>5</v>
      </c>
      <c r="I35" s="12" t="s">
        <v>6</v>
      </c>
      <c r="J35" s="12" t="s">
        <v>7</v>
      </c>
    </row>
    <row r="36" spans="1:10" ht="15" customHeight="1" x14ac:dyDescent="0.3">
      <c r="A36" s="4" t="s">
        <v>26</v>
      </c>
      <c r="B36" s="38">
        <f t="shared" ref="B36" si="13">B22+7</f>
        <v>46092</v>
      </c>
      <c r="C36" s="11" t="s">
        <v>9</v>
      </c>
      <c r="D36" s="4" t="s">
        <v>10</v>
      </c>
      <c r="E36" s="4" t="str">
        <f t="shared" ref="E36" si="14">F36</f>
        <v>Back In The Day</v>
      </c>
      <c r="F36" s="5" t="s">
        <v>79</v>
      </c>
      <c r="G36" s="5" t="s">
        <v>12</v>
      </c>
      <c r="H36" s="5" t="s">
        <v>54</v>
      </c>
      <c r="I36" s="4" t="str">
        <f>F39</f>
        <v>Practice Safe Sets</v>
      </c>
      <c r="J36" s="4"/>
    </row>
    <row r="37" spans="1:10" ht="15" customHeight="1" x14ac:dyDescent="0.3">
      <c r="A37" s="4" t="str">
        <f>A36</f>
        <v>Round 4</v>
      </c>
      <c r="B37" s="38">
        <f t="shared" ref="B37" si="15">B36</f>
        <v>46092</v>
      </c>
      <c r="C37" s="11" t="s">
        <v>9</v>
      </c>
      <c r="D37" s="4" t="s">
        <v>20</v>
      </c>
      <c r="E37" s="4" t="str">
        <f t="shared" si="5"/>
        <v>Pan Set</v>
      </c>
      <c r="F37" s="5" t="s">
        <v>84</v>
      </c>
      <c r="G37" s="5" t="s">
        <v>12</v>
      </c>
      <c r="H37" s="5" t="s">
        <v>55</v>
      </c>
      <c r="I37" s="4" t="str">
        <f>H39</f>
        <v>Mixed Mayhem</v>
      </c>
      <c r="J37" s="4"/>
    </row>
    <row r="38" spans="1:10" ht="15" customHeight="1" x14ac:dyDescent="0.3">
      <c r="A38" s="4" t="str">
        <f t="shared" ref="A38:A44" si="16">A37</f>
        <v>Round 4</v>
      </c>
      <c r="B38" s="38">
        <f t="shared" si="10"/>
        <v>46092</v>
      </c>
      <c r="C38" s="11" t="s">
        <v>9</v>
      </c>
      <c r="D38" s="4" t="s">
        <v>23</v>
      </c>
      <c r="E38" s="4" t="str">
        <f t="shared" si="5"/>
        <v>Fitxroy Rejects</v>
      </c>
      <c r="F38" s="7" t="s">
        <v>87</v>
      </c>
      <c r="G38" s="7" t="s">
        <v>12</v>
      </c>
      <c r="H38" s="7" t="s">
        <v>85</v>
      </c>
      <c r="I38" s="4" t="str">
        <f>F40</f>
        <v>The Upsetters</v>
      </c>
      <c r="J38" s="4"/>
    </row>
    <row r="39" spans="1:10" ht="15" customHeight="1" x14ac:dyDescent="0.3">
      <c r="A39" s="4" t="str">
        <f t="shared" si="16"/>
        <v>Round 4</v>
      </c>
      <c r="B39" s="38">
        <f t="shared" si="10"/>
        <v>46092</v>
      </c>
      <c r="C39" s="4" t="s">
        <v>14</v>
      </c>
      <c r="D39" s="4" t="s">
        <v>10</v>
      </c>
      <c r="E39" s="4"/>
      <c r="F39" s="5" t="s">
        <v>59</v>
      </c>
      <c r="G39" s="5" t="s">
        <v>12</v>
      </c>
      <c r="H39" s="5" t="s">
        <v>83</v>
      </c>
      <c r="I39" s="4" t="str">
        <f>F42</f>
        <v>Fitzroy Ferals</v>
      </c>
      <c r="J39" s="4"/>
    </row>
    <row r="40" spans="1:10" ht="15" customHeight="1" x14ac:dyDescent="0.3">
      <c r="A40" s="4" t="str">
        <f t="shared" si="16"/>
        <v>Round 4</v>
      </c>
      <c r="B40" s="38">
        <f t="shared" si="10"/>
        <v>46092</v>
      </c>
      <c r="C40" s="4" t="s">
        <v>14</v>
      </c>
      <c r="D40" s="4" t="s">
        <v>20</v>
      </c>
      <c r="E40" s="4"/>
      <c r="F40" s="7" t="s">
        <v>88</v>
      </c>
      <c r="G40" s="7" t="s">
        <v>12</v>
      </c>
      <c r="H40" s="7" t="s">
        <v>56</v>
      </c>
      <c r="I40" s="4" t="str">
        <f>H38</f>
        <v>Ballers</v>
      </c>
      <c r="J40" s="4"/>
    </row>
    <row r="41" spans="1:10" ht="15" customHeight="1" x14ac:dyDescent="0.3">
      <c r="A41" s="4" t="str">
        <f t="shared" si="16"/>
        <v>Round 4</v>
      </c>
      <c r="B41" s="38">
        <f t="shared" si="10"/>
        <v>46092</v>
      </c>
      <c r="C41" s="4" t="s">
        <v>14</v>
      </c>
      <c r="D41" s="4" t="s">
        <v>23</v>
      </c>
      <c r="E41" s="4"/>
      <c r="F41" s="7" t="s">
        <v>91</v>
      </c>
      <c r="G41" s="7" t="s">
        <v>12</v>
      </c>
      <c r="H41" s="7" t="s">
        <v>57</v>
      </c>
      <c r="I41" s="4" t="str">
        <f>H37</f>
        <v>Chewblockers</v>
      </c>
      <c r="J41" s="4" t="str">
        <f t="shared" ref="J41:J43" si="17">H41</f>
        <v>That's What She Set</v>
      </c>
    </row>
    <row r="42" spans="1:10" ht="15" customHeight="1" x14ac:dyDescent="0.3">
      <c r="A42" s="4" t="str">
        <f t="shared" si="16"/>
        <v>Round 4</v>
      </c>
      <c r="B42" s="38">
        <f t="shared" si="10"/>
        <v>46092</v>
      </c>
      <c r="C42" s="11" t="s">
        <v>17</v>
      </c>
      <c r="D42" s="4" t="s">
        <v>10</v>
      </c>
      <c r="E42" s="4"/>
      <c r="F42" s="5" t="s">
        <v>82</v>
      </c>
      <c r="G42" s="5" t="s">
        <v>12</v>
      </c>
      <c r="H42" s="5" t="s">
        <v>80</v>
      </c>
      <c r="I42" s="4" t="str">
        <f>F41</f>
        <v>Whoopsies</v>
      </c>
      <c r="J42" s="4" t="str">
        <f>F42</f>
        <v>Fitzroy Ferals</v>
      </c>
    </row>
    <row r="43" spans="1:10" ht="15" customHeight="1" x14ac:dyDescent="0.3">
      <c r="A43" s="4" t="str">
        <f t="shared" si="16"/>
        <v>Round 4</v>
      </c>
      <c r="B43" s="38">
        <f t="shared" si="10"/>
        <v>46092</v>
      </c>
      <c r="C43" s="11" t="s">
        <v>17</v>
      </c>
      <c r="D43" s="4" t="s">
        <v>20</v>
      </c>
      <c r="E43" s="4"/>
      <c r="F43" s="7" t="s">
        <v>58</v>
      </c>
      <c r="G43" s="7" t="s">
        <v>12</v>
      </c>
      <c r="H43" s="7" t="s">
        <v>86</v>
      </c>
      <c r="I43" s="4" t="str">
        <f>H40</f>
        <v>Wilsons</v>
      </c>
      <c r="J43" s="4" t="str">
        <f t="shared" si="17"/>
        <v>Fitxroy Freaks</v>
      </c>
    </row>
    <row r="44" spans="1:10" ht="15" customHeight="1" x14ac:dyDescent="0.3">
      <c r="A44" s="4" t="str">
        <f t="shared" si="16"/>
        <v>Round 4</v>
      </c>
      <c r="B44" s="38">
        <f t="shared" ref="B44" si="18">B43</f>
        <v>46092</v>
      </c>
      <c r="C44" s="4"/>
      <c r="D44" s="4" t="s">
        <v>92</v>
      </c>
      <c r="E44" s="4" t="s">
        <v>81</v>
      </c>
      <c r="F44" s="4"/>
      <c r="G44" s="4"/>
      <c r="H44" s="4"/>
      <c r="I44" s="4"/>
      <c r="J44" s="4"/>
    </row>
    <row r="45" spans="1:10" ht="15" customHeight="1" x14ac:dyDescent="0.3">
      <c r="B45" s="33"/>
    </row>
    <row r="46" spans="1:10" ht="15" customHeight="1" x14ac:dyDescent="0.3">
      <c r="A46" s="4" t="s">
        <v>27</v>
      </c>
      <c r="B46" s="38">
        <f>B36+7</f>
        <v>46099</v>
      </c>
      <c r="C46" s="4" t="s">
        <v>9</v>
      </c>
      <c r="D46" s="4" t="s">
        <v>10</v>
      </c>
      <c r="E46" s="4" t="str">
        <f>F46</f>
        <v>Wilsons</v>
      </c>
      <c r="F46" s="7" t="s">
        <v>56</v>
      </c>
      <c r="G46" s="7" t="s">
        <v>12</v>
      </c>
      <c r="H46" s="7" t="s">
        <v>57</v>
      </c>
      <c r="I46" s="4" t="str">
        <f>F51</f>
        <v>Fitxroy Rejects</v>
      </c>
      <c r="J46" s="4"/>
    </row>
    <row r="47" spans="1:10" ht="15" customHeight="1" x14ac:dyDescent="0.3">
      <c r="A47" s="4" t="str">
        <f>A46</f>
        <v>Round 5</v>
      </c>
      <c r="B47" s="38">
        <f t="shared" ref="B47:B54" si="19">B46</f>
        <v>46099</v>
      </c>
      <c r="C47" s="11" t="s">
        <v>9</v>
      </c>
      <c r="D47" s="4" t="s">
        <v>20</v>
      </c>
      <c r="E47" s="4" t="str">
        <f>F47</f>
        <v>Fitxroy Freaks</v>
      </c>
      <c r="F47" s="7" t="s">
        <v>86</v>
      </c>
      <c r="G47" s="7" t="s">
        <v>12</v>
      </c>
      <c r="H47" s="7" t="s">
        <v>85</v>
      </c>
      <c r="I47" s="4" t="str">
        <f>H51</f>
        <v>Whoopsies</v>
      </c>
      <c r="J47" s="4"/>
    </row>
    <row r="48" spans="1:10" ht="15" customHeight="1" x14ac:dyDescent="0.3">
      <c r="A48" s="4" t="str">
        <f t="shared" ref="A48:A54" si="20">A47</f>
        <v>Round 5</v>
      </c>
      <c r="B48" s="38">
        <f t="shared" si="19"/>
        <v>46099</v>
      </c>
      <c r="C48" s="11" t="s">
        <v>9</v>
      </c>
      <c r="D48" s="4" t="s">
        <v>23</v>
      </c>
      <c r="E48" s="4" t="str">
        <f>H48</f>
        <v>Netflicks</v>
      </c>
      <c r="F48" s="7" t="s">
        <v>88</v>
      </c>
      <c r="G48" s="7" t="s">
        <v>12</v>
      </c>
      <c r="H48" s="7" t="s">
        <v>58</v>
      </c>
      <c r="I48" s="4" t="str">
        <f>F49</f>
        <v>CANT</v>
      </c>
      <c r="J48" s="4"/>
    </row>
    <row r="49" spans="1:10" ht="15" customHeight="1" x14ac:dyDescent="0.3">
      <c r="A49" s="4" t="str">
        <f t="shared" si="20"/>
        <v>Round 5</v>
      </c>
      <c r="B49" s="38">
        <f t="shared" si="19"/>
        <v>46099</v>
      </c>
      <c r="C49" s="4" t="s">
        <v>14</v>
      </c>
      <c r="D49" s="4" t="s">
        <v>10</v>
      </c>
      <c r="E49" s="4"/>
      <c r="F49" s="5" t="s">
        <v>80</v>
      </c>
      <c r="G49" s="5" t="s">
        <v>12</v>
      </c>
      <c r="H49" s="5" t="s">
        <v>79</v>
      </c>
      <c r="I49" s="4" t="str">
        <f>F52</f>
        <v>Casual Sets</v>
      </c>
      <c r="J49" s="4"/>
    </row>
    <row r="50" spans="1:10" ht="15" customHeight="1" x14ac:dyDescent="0.3">
      <c r="A50" s="4" t="str">
        <f t="shared" si="20"/>
        <v>Round 5</v>
      </c>
      <c r="B50" s="38">
        <f t="shared" si="19"/>
        <v>46099</v>
      </c>
      <c r="C50" s="4" t="s">
        <v>14</v>
      </c>
      <c r="D50" s="4" t="s">
        <v>20</v>
      </c>
      <c r="E50" s="4"/>
      <c r="F50" s="5" t="s">
        <v>54</v>
      </c>
      <c r="G50" s="5" t="s">
        <v>12</v>
      </c>
      <c r="H50" s="5" t="s">
        <v>84</v>
      </c>
      <c r="I50" s="4" t="str">
        <f>F53</f>
        <v>Chewblockers</v>
      </c>
      <c r="J50" s="4"/>
    </row>
    <row r="51" spans="1:10" ht="15" customHeight="1" x14ac:dyDescent="0.3">
      <c r="A51" s="4" t="str">
        <f t="shared" si="20"/>
        <v>Round 5</v>
      </c>
      <c r="B51" s="38">
        <f t="shared" si="19"/>
        <v>46099</v>
      </c>
      <c r="C51" s="4" t="s">
        <v>14</v>
      </c>
      <c r="D51" s="4" t="s">
        <v>23</v>
      </c>
      <c r="E51" s="4"/>
      <c r="F51" s="7" t="s">
        <v>87</v>
      </c>
      <c r="G51" s="7" t="s">
        <v>12</v>
      </c>
      <c r="H51" s="7" t="s">
        <v>91</v>
      </c>
      <c r="I51" s="4" t="str">
        <f>H48</f>
        <v>Netflicks</v>
      </c>
      <c r="J51" s="4" t="str">
        <f t="shared" ref="J51:J53" si="21">H51</f>
        <v>Whoopsies</v>
      </c>
    </row>
    <row r="52" spans="1:10" ht="15" customHeight="1" x14ac:dyDescent="0.3">
      <c r="A52" s="4" t="str">
        <f t="shared" si="20"/>
        <v>Round 5</v>
      </c>
      <c r="B52" s="38">
        <f t="shared" si="19"/>
        <v>46099</v>
      </c>
      <c r="C52" s="11" t="s">
        <v>17</v>
      </c>
      <c r="D52" s="4" t="s">
        <v>10</v>
      </c>
      <c r="E52" s="4"/>
      <c r="F52" s="5" t="s">
        <v>81</v>
      </c>
      <c r="G52" s="5" t="s">
        <v>12</v>
      </c>
      <c r="H52" s="5" t="s">
        <v>59</v>
      </c>
      <c r="I52" s="4" t="str">
        <f>H49</f>
        <v>Back In The Day</v>
      </c>
      <c r="J52" s="4" t="str">
        <f t="shared" si="21"/>
        <v>Practice Safe Sets</v>
      </c>
    </row>
    <row r="53" spans="1:10" ht="15" customHeight="1" x14ac:dyDescent="0.3">
      <c r="A53" s="4" t="str">
        <f t="shared" si="20"/>
        <v>Round 5</v>
      </c>
      <c r="B53" s="38">
        <f t="shared" si="19"/>
        <v>46099</v>
      </c>
      <c r="C53" s="11" t="s">
        <v>17</v>
      </c>
      <c r="D53" s="4" t="s">
        <v>20</v>
      </c>
      <c r="E53" s="4"/>
      <c r="F53" s="5" t="s">
        <v>55</v>
      </c>
      <c r="G53" s="5" t="s">
        <v>12</v>
      </c>
      <c r="H53" s="5" t="s">
        <v>83</v>
      </c>
      <c r="I53" s="4" t="str">
        <f>H50</f>
        <v>Pan Set</v>
      </c>
      <c r="J53" s="4" t="str">
        <f t="shared" si="21"/>
        <v>Mixed Mayhem</v>
      </c>
    </row>
    <row r="54" spans="1:10" ht="15" customHeight="1" x14ac:dyDescent="0.3">
      <c r="A54" s="4" t="str">
        <f t="shared" si="20"/>
        <v>Round 5</v>
      </c>
      <c r="B54" s="38">
        <f t="shared" si="19"/>
        <v>46099</v>
      </c>
      <c r="C54" s="4"/>
      <c r="D54" s="4" t="s">
        <v>92</v>
      </c>
      <c r="E54" s="4" t="s">
        <v>82</v>
      </c>
      <c r="F54" s="4"/>
      <c r="G54" s="4"/>
      <c r="H54" s="4"/>
      <c r="I54" s="4"/>
      <c r="J54" s="4"/>
    </row>
    <row r="55" spans="1:10" ht="15" customHeight="1" x14ac:dyDescent="0.3">
      <c r="B55" s="33"/>
    </row>
    <row r="56" spans="1:10" ht="15" customHeight="1" x14ac:dyDescent="0.3">
      <c r="A56" s="4" t="s">
        <v>28</v>
      </c>
      <c r="B56" s="38">
        <f>B46+7</f>
        <v>46106</v>
      </c>
      <c r="C56" s="4" t="s">
        <v>9</v>
      </c>
      <c r="D56" s="4" t="s">
        <v>10</v>
      </c>
      <c r="E56" s="4" t="str">
        <f t="shared" ref="E56" si="22">F56</f>
        <v>Pan Set</v>
      </c>
      <c r="F56" s="5" t="s">
        <v>84</v>
      </c>
      <c r="G56" s="5" t="s">
        <v>12</v>
      </c>
      <c r="H56" s="5" t="s">
        <v>80</v>
      </c>
      <c r="I56" s="4" t="str">
        <f>F59</f>
        <v>Dunlop Volley</v>
      </c>
      <c r="J56" s="4"/>
    </row>
    <row r="57" spans="1:10" ht="15" customHeight="1" x14ac:dyDescent="0.3">
      <c r="A57" s="4" t="str">
        <f>A56</f>
        <v>Round 6</v>
      </c>
      <c r="B57" s="38">
        <f t="shared" ref="B57:B64" si="23">B56</f>
        <v>46106</v>
      </c>
      <c r="C57" s="4" t="s">
        <v>9</v>
      </c>
      <c r="D57" s="4" t="s">
        <v>20</v>
      </c>
      <c r="E57" s="4" t="str">
        <f t="shared" si="5"/>
        <v>Practice Safe Sets</v>
      </c>
      <c r="F57" s="5" t="s">
        <v>59</v>
      </c>
      <c r="G57" s="5" t="s">
        <v>12</v>
      </c>
      <c r="H57" s="5" t="s">
        <v>79</v>
      </c>
      <c r="I57" s="4" t="str">
        <f>F60</f>
        <v>Chewblockers</v>
      </c>
      <c r="J57" s="4"/>
    </row>
    <row r="58" spans="1:10" ht="15" customHeight="1" x14ac:dyDescent="0.3">
      <c r="A58" s="4" t="str">
        <f t="shared" ref="A58:A64" si="24">A57</f>
        <v>Round 6</v>
      </c>
      <c r="B58" s="38">
        <f t="shared" si="23"/>
        <v>46106</v>
      </c>
      <c r="C58" s="4" t="s">
        <v>9</v>
      </c>
      <c r="D58" s="4" t="s">
        <v>23</v>
      </c>
      <c r="E58" s="4" t="str">
        <f t="shared" si="5"/>
        <v>The Upsetters</v>
      </c>
      <c r="F58" s="7" t="s">
        <v>88</v>
      </c>
      <c r="G58" s="7" t="s">
        <v>12</v>
      </c>
      <c r="H58" s="7" t="s">
        <v>86</v>
      </c>
      <c r="I58" s="4" t="str">
        <f>F61</f>
        <v>Ballers</v>
      </c>
      <c r="J58" s="4"/>
    </row>
    <row r="59" spans="1:10" ht="15" customHeight="1" x14ac:dyDescent="0.3">
      <c r="A59" s="4" t="str">
        <f t="shared" si="24"/>
        <v>Round 6</v>
      </c>
      <c r="B59" s="38">
        <f t="shared" si="23"/>
        <v>46106</v>
      </c>
      <c r="C59" s="4" t="s">
        <v>14</v>
      </c>
      <c r="D59" s="4" t="s">
        <v>10</v>
      </c>
      <c r="E59" s="4"/>
      <c r="F59" s="5" t="s">
        <v>54</v>
      </c>
      <c r="G59" s="5" t="s">
        <v>12</v>
      </c>
      <c r="H59" s="5" t="s">
        <v>82</v>
      </c>
      <c r="I59" s="4" t="str">
        <f>H56</f>
        <v>CANT</v>
      </c>
      <c r="J59" s="4"/>
    </row>
    <row r="60" spans="1:10" ht="15" customHeight="1" x14ac:dyDescent="0.3">
      <c r="A60" s="4" t="str">
        <f t="shared" si="24"/>
        <v>Round 6</v>
      </c>
      <c r="B60" s="38">
        <f t="shared" si="23"/>
        <v>46106</v>
      </c>
      <c r="C60" s="4" t="s">
        <v>14</v>
      </c>
      <c r="D60" s="4" t="s">
        <v>20</v>
      </c>
      <c r="E60" s="4"/>
      <c r="F60" s="5" t="s">
        <v>55</v>
      </c>
      <c r="G60" s="5" t="s">
        <v>12</v>
      </c>
      <c r="H60" s="5" t="s">
        <v>81</v>
      </c>
      <c r="I60" s="4" t="str">
        <f>H57</f>
        <v>Back In The Day</v>
      </c>
      <c r="J60" s="4"/>
    </row>
    <row r="61" spans="1:10" ht="15" customHeight="1" x14ac:dyDescent="0.3">
      <c r="A61" s="4" t="str">
        <f t="shared" si="24"/>
        <v>Round 6</v>
      </c>
      <c r="B61" s="38">
        <f t="shared" si="23"/>
        <v>46106</v>
      </c>
      <c r="C61" s="4" t="s">
        <v>14</v>
      </c>
      <c r="D61" s="4" t="s">
        <v>23</v>
      </c>
      <c r="E61" s="4"/>
      <c r="F61" s="7" t="s">
        <v>85</v>
      </c>
      <c r="G61" s="7" t="s">
        <v>12</v>
      </c>
      <c r="H61" s="7" t="s">
        <v>91</v>
      </c>
      <c r="I61" s="4" t="str">
        <f>H58</f>
        <v>Fitxroy Freaks</v>
      </c>
      <c r="J61" s="4" t="str">
        <f t="shared" ref="J61:J63" si="25">H61</f>
        <v>Whoopsies</v>
      </c>
    </row>
    <row r="62" spans="1:10" ht="15" customHeight="1" x14ac:dyDescent="0.3">
      <c r="A62" s="4" t="str">
        <f t="shared" si="24"/>
        <v>Round 6</v>
      </c>
      <c r="B62" s="38">
        <f t="shared" si="23"/>
        <v>46106</v>
      </c>
      <c r="C62" s="4" t="s">
        <v>17</v>
      </c>
      <c r="D62" s="4" t="s">
        <v>10</v>
      </c>
      <c r="E62" s="4"/>
      <c r="F62" s="7" t="s">
        <v>57</v>
      </c>
      <c r="G62" s="7" t="s">
        <v>12</v>
      </c>
      <c r="H62" s="7" t="s">
        <v>58</v>
      </c>
      <c r="I62" s="4" t="str">
        <f>H59</f>
        <v>Fitzroy Ferals</v>
      </c>
      <c r="J62" s="4" t="str">
        <f t="shared" si="25"/>
        <v>Netflicks</v>
      </c>
    </row>
    <row r="63" spans="1:10" ht="15" customHeight="1" x14ac:dyDescent="0.3">
      <c r="A63" s="4" t="str">
        <f t="shared" si="24"/>
        <v>Round 6</v>
      </c>
      <c r="B63" s="38">
        <f t="shared" si="23"/>
        <v>46106</v>
      </c>
      <c r="C63" s="4" t="s">
        <v>17</v>
      </c>
      <c r="D63" s="4" t="s">
        <v>20</v>
      </c>
      <c r="E63" s="4"/>
      <c r="F63" s="7" t="s">
        <v>56</v>
      </c>
      <c r="G63" s="7" t="s">
        <v>12</v>
      </c>
      <c r="H63" s="7" t="s">
        <v>87</v>
      </c>
      <c r="I63" s="4" t="str">
        <f>H60</f>
        <v>Casual Sets</v>
      </c>
      <c r="J63" s="4" t="str">
        <f t="shared" si="25"/>
        <v>Fitxroy Rejects</v>
      </c>
    </row>
    <row r="64" spans="1:10" ht="15" customHeight="1" x14ac:dyDescent="0.3">
      <c r="A64" s="4" t="str">
        <f t="shared" si="24"/>
        <v>Round 6</v>
      </c>
      <c r="B64" s="38">
        <f t="shared" si="23"/>
        <v>46106</v>
      </c>
      <c r="C64" s="4"/>
      <c r="D64" s="4" t="s">
        <v>92</v>
      </c>
      <c r="E64" s="4" t="s">
        <v>83</v>
      </c>
      <c r="F64" s="4"/>
      <c r="G64" s="4"/>
      <c r="H64" s="4"/>
      <c r="I64" s="4"/>
      <c r="J64" s="4"/>
    </row>
    <row r="65" spans="1:10" ht="15" customHeight="1" x14ac:dyDescent="0.3">
      <c r="B65" s="33"/>
    </row>
    <row r="66" spans="1:10" ht="15" customHeight="1" x14ac:dyDescent="0.3">
      <c r="B66" s="33"/>
    </row>
    <row r="67" spans="1:10" ht="15" customHeight="1" x14ac:dyDescent="0.3">
      <c r="B67" s="33"/>
    </row>
    <row r="68" spans="1:10" ht="15" customHeight="1" x14ac:dyDescent="0.3">
      <c r="B68" s="33"/>
    </row>
    <row r="69" spans="1:10" ht="15" customHeight="1" x14ac:dyDescent="0.3">
      <c r="A69" s="12" t="s">
        <v>60</v>
      </c>
      <c r="B69" s="32" t="s">
        <v>0</v>
      </c>
      <c r="C69" s="12" t="s">
        <v>1</v>
      </c>
      <c r="D69" s="12" t="s">
        <v>2</v>
      </c>
      <c r="E69" s="12" t="s">
        <v>3</v>
      </c>
      <c r="F69" s="12" t="s">
        <v>4</v>
      </c>
      <c r="G69" s="12"/>
      <c r="H69" s="12" t="s">
        <v>5</v>
      </c>
      <c r="I69" s="12" t="s">
        <v>6</v>
      </c>
      <c r="J69" s="12" t="s">
        <v>7</v>
      </c>
    </row>
    <row r="70" spans="1:10" ht="15" customHeight="1" x14ac:dyDescent="0.3">
      <c r="A70" s="4" t="s">
        <v>29</v>
      </c>
      <c r="B70" s="38">
        <f t="shared" ref="B70" si="26">B56+7</f>
        <v>46113</v>
      </c>
      <c r="C70" s="4" t="s">
        <v>9</v>
      </c>
      <c r="D70" s="4" t="s">
        <v>10</v>
      </c>
      <c r="E70" s="4" t="str">
        <f t="shared" ref="E70" si="27">F70</f>
        <v>Fitzroy Ferals</v>
      </c>
      <c r="F70" s="5" t="s">
        <v>82</v>
      </c>
      <c r="G70" s="5" t="s">
        <v>12</v>
      </c>
      <c r="H70" s="5" t="s">
        <v>81</v>
      </c>
      <c r="I70" s="4" t="str">
        <f>F73</f>
        <v>Dunlop Volley</v>
      </c>
      <c r="J70" s="4"/>
    </row>
    <row r="71" spans="1:10" ht="15" customHeight="1" x14ac:dyDescent="0.3">
      <c r="A71" s="4" t="str">
        <f>A70</f>
        <v>Round 7</v>
      </c>
      <c r="B71" s="38">
        <f t="shared" ref="B71:B149" si="28">B70</f>
        <v>46113</v>
      </c>
      <c r="C71" s="4" t="s">
        <v>9</v>
      </c>
      <c r="D71" s="4" t="s">
        <v>20</v>
      </c>
      <c r="E71" s="4" t="str">
        <f t="shared" si="5"/>
        <v>Netflicks</v>
      </c>
      <c r="F71" s="7" t="s">
        <v>58</v>
      </c>
      <c r="G71" s="7" t="s">
        <v>12</v>
      </c>
      <c r="H71" s="7" t="s">
        <v>87</v>
      </c>
      <c r="I71" s="4" t="str">
        <f>F75</f>
        <v>Ballers</v>
      </c>
      <c r="J71" s="4"/>
    </row>
    <row r="72" spans="1:10" ht="15" customHeight="1" x14ac:dyDescent="0.3">
      <c r="A72" s="4" t="str">
        <f t="shared" ref="A72:A78" si="29">A71</f>
        <v>Round 7</v>
      </c>
      <c r="B72" s="38">
        <f t="shared" si="28"/>
        <v>46113</v>
      </c>
      <c r="C72" s="4" t="s">
        <v>9</v>
      </c>
      <c r="D72" s="4" t="s">
        <v>23</v>
      </c>
      <c r="E72" s="4" t="str">
        <f t="shared" si="5"/>
        <v>The Upsetters</v>
      </c>
      <c r="F72" s="7" t="s">
        <v>88</v>
      </c>
      <c r="G72" s="7" t="s">
        <v>12</v>
      </c>
      <c r="H72" s="7" t="s">
        <v>56</v>
      </c>
      <c r="I72" s="4" t="str">
        <f>H75</f>
        <v>That's What She Set</v>
      </c>
      <c r="J72" s="4"/>
    </row>
    <row r="73" spans="1:10" ht="15" customHeight="1" x14ac:dyDescent="0.3">
      <c r="A73" s="4" t="str">
        <f t="shared" si="29"/>
        <v>Round 7</v>
      </c>
      <c r="B73" s="38">
        <f t="shared" si="28"/>
        <v>46113</v>
      </c>
      <c r="C73" s="4" t="s">
        <v>14</v>
      </c>
      <c r="D73" s="4" t="s">
        <v>10</v>
      </c>
      <c r="E73" s="4"/>
      <c r="F73" s="5" t="s">
        <v>54</v>
      </c>
      <c r="G73" s="5" t="s">
        <v>12</v>
      </c>
      <c r="H73" s="5" t="s">
        <v>55</v>
      </c>
      <c r="I73" s="4" t="str">
        <f>H70</f>
        <v>Casual Sets</v>
      </c>
      <c r="J73" s="4"/>
    </row>
    <row r="74" spans="1:10" ht="15" customHeight="1" x14ac:dyDescent="0.3">
      <c r="A74" s="4" t="str">
        <f t="shared" si="29"/>
        <v>Round 7</v>
      </c>
      <c r="B74" s="38">
        <f t="shared" si="28"/>
        <v>46113</v>
      </c>
      <c r="C74" s="4" t="s">
        <v>14</v>
      </c>
      <c r="D74" s="4" t="s">
        <v>20</v>
      </c>
      <c r="E74" s="4"/>
      <c r="F74" s="5" t="s">
        <v>79</v>
      </c>
      <c r="G74" s="5" t="s">
        <v>12</v>
      </c>
      <c r="H74" s="5" t="s">
        <v>83</v>
      </c>
      <c r="I74" s="4" t="str">
        <f>H76</f>
        <v>Practice Safe Sets</v>
      </c>
      <c r="J74" s="4"/>
    </row>
    <row r="75" spans="1:10" ht="15" customHeight="1" x14ac:dyDescent="0.3">
      <c r="A75" s="4" t="str">
        <f t="shared" si="29"/>
        <v>Round 7</v>
      </c>
      <c r="B75" s="38">
        <f t="shared" si="28"/>
        <v>46113</v>
      </c>
      <c r="C75" s="4" t="s">
        <v>14</v>
      </c>
      <c r="D75" s="4" t="s">
        <v>23</v>
      </c>
      <c r="E75" s="4"/>
      <c r="F75" s="7" t="s">
        <v>85</v>
      </c>
      <c r="G75" s="7" t="s">
        <v>12</v>
      </c>
      <c r="H75" s="7" t="s">
        <v>57</v>
      </c>
      <c r="I75" s="4" t="str">
        <f>H72</f>
        <v>Wilsons</v>
      </c>
      <c r="J75" s="4" t="str">
        <f t="shared" ref="J75:J77" si="30">H75</f>
        <v>That's What She Set</v>
      </c>
    </row>
    <row r="76" spans="1:10" ht="15" customHeight="1" x14ac:dyDescent="0.3">
      <c r="A76" s="4" t="str">
        <f t="shared" si="29"/>
        <v>Round 7</v>
      </c>
      <c r="B76" s="38">
        <f t="shared" si="28"/>
        <v>46113</v>
      </c>
      <c r="C76" s="4" t="s">
        <v>17</v>
      </c>
      <c r="D76" s="4" t="s">
        <v>10</v>
      </c>
      <c r="E76" s="4"/>
      <c r="F76" s="5" t="s">
        <v>80</v>
      </c>
      <c r="G76" s="5" t="s">
        <v>12</v>
      </c>
      <c r="H76" s="5" t="s">
        <v>59</v>
      </c>
      <c r="I76" s="4" t="str">
        <f>F74</f>
        <v>Back In The Day</v>
      </c>
      <c r="J76" s="4" t="str">
        <f>F76</f>
        <v>CANT</v>
      </c>
    </row>
    <row r="77" spans="1:10" ht="15" customHeight="1" x14ac:dyDescent="0.3">
      <c r="A77" s="4" t="str">
        <f t="shared" si="29"/>
        <v>Round 7</v>
      </c>
      <c r="B77" s="38">
        <f t="shared" si="28"/>
        <v>46113</v>
      </c>
      <c r="C77" s="4" t="s">
        <v>17</v>
      </c>
      <c r="D77" s="4" t="s">
        <v>20</v>
      </c>
      <c r="E77" s="4"/>
      <c r="F77" s="7" t="s">
        <v>86</v>
      </c>
      <c r="G77" s="7" t="s">
        <v>12</v>
      </c>
      <c r="H77" s="7" t="s">
        <v>91</v>
      </c>
      <c r="I77" s="4" t="str">
        <f>H74</f>
        <v>Mixed Mayhem</v>
      </c>
      <c r="J77" s="4" t="str">
        <f t="shared" si="30"/>
        <v>Whoopsies</v>
      </c>
    </row>
    <row r="78" spans="1:10" ht="15" customHeight="1" x14ac:dyDescent="0.3">
      <c r="A78" s="4" t="str">
        <f t="shared" si="29"/>
        <v>Round 7</v>
      </c>
      <c r="B78" s="38">
        <f t="shared" si="28"/>
        <v>46113</v>
      </c>
      <c r="C78" s="4"/>
      <c r="D78" s="4" t="s">
        <v>92</v>
      </c>
      <c r="E78" s="4" t="s">
        <v>84</v>
      </c>
      <c r="F78" s="4"/>
      <c r="G78" s="4"/>
      <c r="H78" s="4"/>
      <c r="I78" s="4"/>
      <c r="J78" s="4"/>
    </row>
    <row r="79" spans="1:10" ht="15" customHeight="1" x14ac:dyDescent="0.3">
      <c r="B79" s="33"/>
    </row>
    <row r="80" spans="1:10" ht="15" customHeight="1" x14ac:dyDescent="0.3">
      <c r="A80" s="34" t="s">
        <v>61</v>
      </c>
      <c r="B80" s="9">
        <f>B75+7</f>
        <v>46120</v>
      </c>
      <c r="C80" s="35"/>
      <c r="D80" s="34"/>
      <c r="E80" s="34"/>
      <c r="F80" s="34"/>
      <c r="G80" s="34"/>
      <c r="H80" s="34"/>
      <c r="I80" s="34"/>
      <c r="J80" s="34"/>
    </row>
    <row r="81" spans="1:10" ht="15" customHeight="1" x14ac:dyDescent="0.3">
      <c r="A81" s="34" t="str">
        <f t="shared" ref="A81" si="31">A80</f>
        <v>Holidays</v>
      </c>
      <c r="B81" s="9">
        <f>B80+7</f>
        <v>46127</v>
      </c>
      <c r="C81" s="35"/>
      <c r="D81" s="34"/>
      <c r="E81" s="34"/>
      <c r="F81" s="34"/>
      <c r="G81" s="34"/>
      <c r="H81" s="34"/>
      <c r="I81" s="34"/>
      <c r="J81" s="34"/>
    </row>
    <row r="82" spans="1:10" ht="15" customHeight="1" x14ac:dyDescent="0.3">
      <c r="B82" s="33"/>
    </row>
    <row r="83" spans="1:10" ht="15" customHeight="1" x14ac:dyDescent="0.3">
      <c r="A83" s="4" t="s">
        <v>34</v>
      </c>
      <c r="B83" s="38">
        <f>B81+7</f>
        <v>46134</v>
      </c>
      <c r="C83" s="4" t="s">
        <v>9</v>
      </c>
      <c r="D83" s="4" t="s">
        <v>10</v>
      </c>
      <c r="E83" s="4" t="str">
        <f>F83</f>
        <v>CANT</v>
      </c>
      <c r="F83" s="5" t="s">
        <v>80</v>
      </c>
      <c r="G83" s="5" t="s">
        <v>12</v>
      </c>
      <c r="H83" s="5" t="s">
        <v>83</v>
      </c>
      <c r="I83" s="4" t="str">
        <f>F86</f>
        <v>Back In The Day</v>
      </c>
      <c r="J83" s="4"/>
    </row>
    <row r="84" spans="1:10" ht="15" customHeight="1" x14ac:dyDescent="0.3">
      <c r="A84" s="4" t="str">
        <f>A83</f>
        <v>Round 8</v>
      </c>
      <c r="B84" s="38">
        <f t="shared" si="28"/>
        <v>46134</v>
      </c>
      <c r="C84" s="4" t="s">
        <v>9</v>
      </c>
      <c r="D84" s="4" t="s">
        <v>20</v>
      </c>
      <c r="E84" s="4" t="str">
        <f t="shared" ref="E84:E85" si="32">F84</f>
        <v>Ballers</v>
      </c>
      <c r="F84" s="7" t="s">
        <v>85</v>
      </c>
      <c r="G84" s="7" t="s">
        <v>12</v>
      </c>
      <c r="H84" s="7" t="s">
        <v>58</v>
      </c>
      <c r="I84" s="4" t="str">
        <f>F87</f>
        <v>The Upsetters</v>
      </c>
      <c r="J84" s="4"/>
    </row>
    <row r="85" spans="1:10" ht="15" customHeight="1" x14ac:dyDescent="0.3">
      <c r="A85" s="4" t="str">
        <f t="shared" ref="A85:A91" si="33">A84</f>
        <v>Round 8</v>
      </c>
      <c r="B85" s="38">
        <f t="shared" si="28"/>
        <v>46134</v>
      </c>
      <c r="C85" s="4" t="s">
        <v>9</v>
      </c>
      <c r="D85" s="4" t="s">
        <v>23</v>
      </c>
      <c r="E85" s="4" t="str">
        <f t="shared" si="32"/>
        <v>Fitxroy Freaks</v>
      </c>
      <c r="F85" s="7" t="s">
        <v>86</v>
      </c>
      <c r="G85" s="7" t="s">
        <v>12</v>
      </c>
      <c r="H85" s="7" t="s">
        <v>57</v>
      </c>
      <c r="I85" s="4" t="str">
        <f>H87</f>
        <v>Fitxroy Rejects</v>
      </c>
      <c r="J85" s="4"/>
    </row>
    <row r="86" spans="1:10" ht="15" customHeight="1" x14ac:dyDescent="0.3">
      <c r="A86" s="4" t="str">
        <f t="shared" si="33"/>
        <v>Round 8</v>
      </c>
      <c r="B86" s="38">
        <f t="shared" si="28"/>
        <v>46134</v>
      </c>
      <c r="C86" s="4" t="s">
        <v>14</v>
      </c>
      <c r="D86" s="4" t="s">
        <v>10</v>
      </c>
      <c r="E86" s="4"/>
      <c r="F86" s="5" t="s">
        <v>79</v>
      </c>
      <c r="G86" s="5" t="s">
        <v>12</v>
      </c>
      <c r="H86" s="5" t="s">
        <v>82</v>
      </c>
      <c r="I86" s="4" t="str">
        <f>H83</f>
        <v>Mixed Mayhem</v>
      </c>
      <c r="J86" s="4"/>
    </row>
    <row r="87" spans="1:10" ht="15" customHeight="1" x14ac:dyDescent="0.3">
      <c r="A87" s="4" t="str">
        <f t="shared" si="33"/>
        <v>Round 8</v>
      </c>
      <c r="B87" s="38">
        <f t="shared" si="28"/>
        <v>46134</v>
      </c>
      <c r="C87" s="4" t="s">
        <v>14</v>
      </c>
      <c r="D87" s="4" t="s">
        <v>20</v>
      </c>
      <c r="E87" s="4"/>
      <c r="F87" s="7" t="s">
        <v>88</v>
      </c>
      <c r="G87" s="7" t="s">
        <v>12</v>
      </c>
      <c r="H87" s="7" t="s">
        <v>87</v>
      </c>
      <c r="I87" s="4" t="str">
        <f>H84</f>
        <v>Netflicks</v>
      </c>
      <c r="J87" s="4"/>
    </row>
    <row r="88" spans="1:10" ht="15" customHeight="1" x14ac:dyDescent="0.3">
      <c r="A88" s="4" t="str">
        <f t="shared" si="33"/>
        <v>Round 8</v>
      </c>
      <c r="B88" s="38">
        <f t="shared" si="28"/>
        <v>46134</v>
      </c>
      <c r="C88" s="4" t="s">
        <v>14</v>
      </c>
      <c r="D88" s="4" t="s">
        <v>23</v>
      </c>
      <c r="E88" s="4"/>
      <c r="F88" s="5" t="s">
        <v>54</v>
      </c>
      <c r="G88" s="5" t="s">
        <v>12</v>
      </c>
      <c r="H88" s="5" t="s">
        <v>59</v>
      </c>
      <c r="I88" s="4" t="str">
        <f>F89</f>
        <v>Pan Set</v>
      </c>
      <c r="J88" s="4" t="str">
        <f>F88</f>
        <v>Dunlop Volley</v>
      </c>
    </row>
    <row r="89" spans="1:10" ht="15" customHeight="1" x14ac:dyDescent="0.3">
      <c r="A89" s="4" t="str">
        <f t="shared" si="33"/>
        <v>Round 8</v>
      </c>
      <c r="B89" s="38">
        <f t="shared" si="28"/>
        <v>46134</v>
      </c>
      <c r="C89" s="4" t="s">
        <v>17</v>
      </c>
      <c r="D89" s="4" t="s">
        <v>10</v>
      </c>
      <c r="E89" s="4"/>
      <c r="F89" s="5" t="s">
        <v>84</v>
      </c>
      <c r="G89" s="5" t="s">
        <v>12</v>
      </c>
      <c r="H89" s="5" t="s">
        <v>81</v>
      </c>
      <c r="I89" s="4" t="str">
        <f>F88</f>
        <v>Dunlop Volley</v>
      </c>
      <c r="J89" s="4" t="str">
        <f>H89</f>
        <v>Casual Sets</v>
      </c>
    </row>
    <row r="90" spans="1:10" ht="15" customHeight="1" x14ac:dyDescent="0.3">
      <c r="A90" s="4" t="str">
        <f t="shared" si="33"/>
        <v>Round 8</v>
      </c>
      <c r="B90" s="38">
        <f t="shared" si="28"/>
        <v>46134</v>
      </c>
      <c r="C90" s="4" t="s">
        <v>17</v>
      </c>
      <c r="D90" s="4" t="s">
        <v>20</v>
      </c>
      <c r="E90" s="4"/>
      <c r="F90" s="7" t="s">
        <v>56</v>
      </c>
      <c r="G90" s="7" t="s">
        <v>12</v>
      </c>
      <c r="H90" s="7" t="s">
        <v>91</v>
      </c>
      <c r="I90" s="4" t="str">
        <f>H88</f>
        <v>Practice Safe Sets</v>
      </c>
      <c r="J90" s="4" t="str">
        <f>F90</f>
        <v>Wilsons</v>
      </c>
    </row>
    <row r="91" spans="1:10" ht="15" customHeight="1" x14ac:dyDescent="0.3">
      <c r="A91" s="4" t="str">
        <f t="shared" si="33"/>
        <v>Round 8</v>
      </c>
      <c r="B91" s="38">
        <f t="shared" ref="B91" si="34">B90</f>
        <v>46134</v>
      </c>
      <c r="C91" s="4"/>
      <c r="D91" s="4" t="s">
        <v>92</v>
      </c>
      <c r="E91" s="4" t="s">
        <v>55</v>
      </c>
      <c r="F91" s="4"/>
      <c r="G91" s="4"/>
      <c r="H91" s="4"/>
      <c r="I91" s="4"/>
      <c r="J91" s="4"/>
    </row>
    <row r="92" spans="1:10" ht="15" customHeight="1" x14ac:dyDescent="0.3">
      <c r="B92" s="33"/>
    </row>
    <row r="93" spans="1:10" ht="15" customHeight="1" x14ac:dyDescent="0.3">
      <c r="A93" s="4" t="s">
        <v>35</v>
      </c>
      <c r="B93" s="38">
        <f>B83+7</f>
        <v>46141</v>
      </c>
      <c r="C93" s="11" t="s">
        <v>9</v>
      </c>
      <c r="D93" s="4" t="s">
        <v>10</v>
      </c>
      <c r="E93" s="4" t="str">
        <f t="shared" ref="E93:E116" si="35">F93</f>
        <v>Chewblockers</v>
      </c>
      <c r="F93" s="5" t="s">
        <v>55</v>
      </c>
      <c r="G93" s="5" t="s">
        <v>12</v>
      </c>
      <c r="H93" s="5" t="s">
        <v>80</v>
      </c>
      <c r="I93" s="4" t="str">
        <f>F96</f>
        <v>Fitzroy Ferals</v>
      </c>
      <c r="J93" s="4"/>
    </row>
    <row r="94" spans="1:10" ht="15" customHeight="1" x14ac:dyDescent="0.3">
      <c r="A94" s="4" t="str">
        <f>A93</f>
        <v>Round 9</v>
      </c>
      <c r="B94" s="38">
        <f t="shared" si="28"/>
        <v>46141</v>
      </c>
      <c r="C94" s="11" t="s">
        <v>9</v>
      </c>
      <c r="D94" s="4" t="s">
        <v>20</v>
      </c>
      <c r="E94" s="4" t="str">
        <f t="shared" si="35"/>
        <v>Mixed Mayhem</v>
      </c>
      <c r="F94" s="5" t="s">
        <v>83</v>
      </c>
      <c r="G94" s="5" t="s">
        <v>12</v>
      </c>
      <c r="H94" s="5" t="s">
        <v>81</v>
      </c>
      <c r="I94" s="4" t="str">
        <f>H96</f>
        <v>Dunlop Volley</v>
      </c>
      <c r="J94" s="4"/>
    </row>
    <row r="95" spans="1:10" ht="15" customHeight="1" x14ac:dyDescent="0.3">
      <c r="A95" s="4" t="str">
        <f t="shared" ref="A95:A101" si="36">A94</f>
        <v>Round 9</v>
      </c>
      <c r="B95" s="38">
        <f t="shared" si="28"/>
        <v>46141</v>
      </c>
      <c r="C95" s="11" t="s">
        <v>9</v>
      </c>
      <c r="D95" s="4" t="s">
        <v>23</v>
      </c>
      <c r="E95" s="4" t="str">
        <f t="shared" si="35"/>
        <v>Netflicks</v>
      </c>
      <c r="F95" s="7" t="s">
        <v>58</v>
      </c>
      <c r="G95" s="7" t="s">
        <v>12</v>
      </c>
      <c r="H95" s="7" t="s">
        <v>91</v>
      </c>
      <c r="I95" s="4" t="str">
        <f>H98</f>
        <v>That's What She Set</v>
      </c>
      <c r="J95" s="4"/>
    </row>
    <row r="96" spans="1:10" ht="15" customHeight="1" x14ac:dyDescent="0.3">
      <c r="A96" s="4" t="str">
        <f t="shared" si="36"/>
        <v>Round 9</v>
      </c>
      <c r="B96" s="38">
        <f t="shared" si="28"/>
        <v>46141</v>
      </c>
      <c r="C96" s="4" t="s">
        <v>14</v>
      </c>
      <c r="D96" s="4" t="s">
        <v>10</v>
      </c>
      <c r="E96" s="4"/>
      <c r="F96" s="5" t="s">
        <v>82</v>
      </c>
      <c r="G96" s="5" t="s">
        <v>12</v>
      </c>
      <c r="H96" s="5" t="s">
        <v>54</v>
      </c>
      <c r="I96" s="4" t="str">
        <f>H93</f>
        <v>CANT</v>
      </c>
      <c r="J96" s="4"/>
    </row>
    <row r="97" spans="1:10" ht="15" customHeight="1" x14ac:dyDescent="0.3">
      <c r="A97" s="4" t="str">
        <f t="shared" si="36"/>
        <v>Round 9</v>
      </c>
      <c r="B97" s="38">
        <f t="shared" si="28"/>
        <v>46141</v>
      </c>
      <c r="C97" s="4" t="s">
        <v>14</v>
      </c>
      <c r="D97" s="4" t="s">
        <v>20</v>
      </c>
      <c r="E97" s="4"/>
      <c r="F97" s="5" t="s">
        <v>79</v>
      </c>
      <c r="G97" s="5" t="s">
        <v>12</v>
      </c>
      <c r="H97" s="5" t="s">
        <v>84</v>
      </c>
      <c r="I97" s="4" t="str">
        <f>H94</f>
        <v>Casual Sets</v>
      </c>
      <c r="J97" s="4"/>
    </row>
    <row r="98" spans="1:10" ht="15" customHeight="1" x14ac:dyDescent="0.3">
      <c r="A98" s="4" t="str">
        <f t="shared" si="36"/>
        <v>Round 9</v>
      </c>
      <c r="B98" s="38">
        <f t="shared" si="28"/>
        <v>46141</v>
      </c>
      <c r="C98" s="4" t="s">
        <v>14</v>
      </c>
      <c r="D98" s="4" t="s">
        <v>23</v>
      </c>
      <c r="E98" s="4"/>
      <c r="F98" s="7" t="s">
        <v>87</v>
      </c>
      <c r="G98" s="7" t="s">
        <v>12</v>
      </c>
      <c r="H98" s="7" t="s">
        <v>57</v>
      </c>
      <c r="I98" s="4" t="str">
        <f>H95</f>
        <v>Whoopsies</v>
      </c>
      <c r="J98" s="4" t="str">
        <f>F98</f>
        <v>Fitxroy Rejects</v>
      </c>
    </row>
    <row r="99" spans="1:10" ht="15" customHeight="1" x14ac:dyDescent="0.3">
      <c r="A99" s="4" t="str">
        <f t="shared" si="36"/>
        <v>Round 9</v>
      </c>
      <c r="B99" s="38">
        <f t="shared" si="28"/>
        <v>46141</v>
      </c>
      <c r="C99" s="4" t="s">
        <v>17</v>
      </c>
      <c r="D99" s="4" t="s">
        <v>10</v>
      </c>
      <c r="E99" s="4"/>
      <c r="F99" s="7" t="s">
        <v>56</v>
      </c>
      <c r="G99" s="7" t="s">
        <v>12</v>
      </c>
      <c r="H99" s="7" t="s">
        <v>86</v>
      </c>
      <c r="I99" s="4" t="str">
        <f>F97</f>
        <v>Back In The Day</v>
      </c>
      <c r="J99" s="4" t="str">
        <f>F99</f>
        <v>Wilsons</v>
      </c>
    </row>
    <row r="100" spans="1:10" ht="15" customHeight="1" x14ac:dyDescent="0.3">
      <c r="A100" s="4" t="str">
        <f t="shared" si="36"/>
        <v>Round 9</v>
      </c>
      <c r="B100" s="38">
        <f t="shared" si="28"/>
        <v>46141</v>
      </c>
      <c r="C100" s="4" t="s">
        <v>17</v>
      </c>
      <c r="D100" s="4" t="s">
        <v>20</v>
      </c>
      <c r="E100" s="4"/>
      <c r="F100" s="7" t="s">
        <v>85</v>
      </c>
      <c r="G100" s="7" t="s">
        <v>12</v>
      </c>
      <c r="H100" s="7" t="s">
        <v>88</v>
      </c>
      <c r="I100" s="4" t="str">
        <f>H97</f>
        <v>Pan Set</v>
      </c>
      <c r="J100" s="4" t="str">
        <f>F100</f>
        <v>Ballers</v>
      </c>
    </row>
    <row r="101" spans="1:10" ht="15" customHeight="1" x14ac:dyDescent="0.3">
      <c r="A101" s="4" t="str">
        <f t="shared" si="36"/>
        <v>Round 9</v>
      </c>
      <c r="B101" s="38">
        <f t="shared" si="28"/>
        <v>46141</v>
      </c>
      <c r="C101" s="4"/>
      <c r="D101" s="4" t="s">
        <v>92</v>
      </c>
      <c r="E101" s="4" t="s">
        <v>59</v>
      </c>
      <c r="F101" s="4"/>
      <c r="G101" s="4"/>
      <c r="H101" s="4"/>
      <c r="I101" s="4"/>
      <c r="J101" s="4"/>
    </row>
    <row r="102" spans="1:10" ht="15" customHeight="1" x14ac:dyDescent="0.3">
      <c r="B102" s="33"/>
    </row>
    <row r="103" spans="1:10" ht="15" customHeight="1" x14ac:dyDescent="0.3">
      <c r="A103" s="12" t="s">
        <v>60</v>
      </c>
      <c r="B103" s="32" t="s">
        <v>0</v>
      </c>
      <c r="C103" s="12" t="s">
        <v>1</v>
      </c>
      <c r="D103" s="12" t="s">
        <v>2</v>
      </c>
      <c r="E103" s="12" t="s">
        <v>3</v>
      </c>
      <c r="F103" s="12" t="s">
        <v>4</v>
      </c>
      <c r="G103" s="12"/>
      <c r="H103" s="12" t="s">
        <v>5</v>
      </c>
      <c r="I103" s="12" t="s">
        <v>6</v>
      </c>
      <c r="J103" s="12" t="s">
        <v>7</v>
      </c>
    </row>
    <row r="104" spans="1:10" ht="15" customHeight="1" x14ac:dyDescent="0.3">
      <c r="A104" s="4" t="s">
        <v>36</v>
      </c>
      <c r="B104" s="38">
        <f t="shared" ref="B104" si="37">B93+7</f>
        <v>46148</v>
      </c>
      <c r="C104" s="11" t="s">
        <v>9</v>
      </c>
      <c r="D104" s="4" t="s">
        <v>10</v>
      </c>
      <c r="E104" s="4" t="str">
        <f t="shared" ref="E104" si="38">F104</f>
        <v>That's What She Set</v>
      </c>
      <c r="F104" s="7" t="s">
        <v>57</v>
      </c>
      <c r="G104" s="7" t="s">
        <v>12</v>
      </c>
      <c r="H104" s="7" t="s">
        <v>85</v>
      </c>
      <c r="I104" s="4" t="str">
        <f>F109</f>
        <v>Fitxroy Freaks</v>
      </c>
      <c r="J104" s="4"/>
    </row>
    <row r="105" spans="1:10" ht="15" customHeight="1" x14ac:dyDescent="0.3">
      <c r="A105" s="4" t="str">
        <f>A104</f>
        <v>Round 10</v>
      </c>
      <c r="B105" s="38">
        <f t="shared" si="28"/>
        <v>46148</v>
      </c>
      <c r="C105" s="11" t="s">
        <v>9</v>
      </c>
      <c r="D105" s="4" t="s">
        <v>20</v>
      </c>
      <c r="E105" s="4" t="str">
        <f t="shared" si="35"/>
        <v>Wilsons</v>
      </c>
      <c r="F105" s="7" t="s">
        <v>56</v>
      </c>
      <c r="G105" s="7" t="s">
        <v>12</v>
      </c>
      <c r="H105" s="7" t="s">
        <v>58</v>
      </c>
      <c r="I105" s="4" t="str">
        <f>H109</f>
        <v>Fitxroy Rejects</v>
      </c>
      <c r="J105" s="4"/>
    </row>
    <row r="106" spans="1:10" ht="15" customHeight="1" x14ac:dyDescent="0.3">
      <c r="A106" s="4" t="str">
        <f t="shared" ref="A106:A112" si="39">A105</f>
        <v>Round 10</v>
      </c>
      <c r="B106" s="38">
        <f t="shared" si="28"/>
        <v>46148</v>
      </c>
      <c r="C106" s="11" t="s">
        <v>9</v>
      </c>
      <c r="D106" s="4" t="s">
        <v>23</v>
      </c>
      <c r="E106" s="4" t="str">
        <f t="shared" si="35"/>
        <v>Whoopsies</v>
      </c>
      <c r="F106" s="7" t="s">
        <v>91</v>
      </c>
      <c r="G106" s="7" t="s">
        <v>12</v>
      </c>
      <c r="H106" s="7" t="s">
        <v>88</v>
      </c>
      <c r="I106" s="4" t="str">
        <f>H107</f>
        <v>Pan Set</v>
      </c>
      <c r="J106" s="4"/>
    </row>
    <row r="107" spans="1:10" ht="15" customHeight="1" x14ac:dyDescent="0.3">
      <c r="A107" s="4" t="str">
        <f t="shared" si="39"/>
        <v>Round 10</v>
      </c>
      <c r="B107" s="38">
        <f t="shared" si="28"/>
        <v>46148</v>
      </c>
      <c r="C107" s="4" t="s">
        <v>14</v>
      </c>
      <c r="D107" s="4" t="s">
        <v>10</v>
      </c>
      <c r="E107" s="4"/>
      <c r="F107" s="5" t="s">
        <v>59</v>
      </c>
      <c r="G107" s="5" t="s">
        <v>12</v>
      </c>
      <c r="H107" s="5" t="s">
        <v>84</v>
      </c>
      <c r="I107" s="4" t="str">
        <f>F111</f>
        <v>Casual Sets</v>
      </c>
      <c r="J107" s="4"/>
    </row>
    <row r="108" spans="1:10" ht="15" customHeight="1" x14ac:dyDescent="0.3">
      <c r="A108" s="4" t="str">
        <f t="shared" si="39"/>
        <v>Round 10</v>
      </c>
      <c r="B108" s="38">
        <f t="shared" si="28"/>
        <v>46148</v>
      </c>
      <c r="C108" s="4" t="s">
        <v>14</v>
      </c>
      <c r="D108" s="4" t="s">
        <v>20</v>
      </c>
      <c r="E108" s="4"/>
      <c r="F108" s="5" t="s">
        <v>55</v>
      </c>
      <c r="G108" s="5" t="s">
        <v>12</v>
      </c>
      <c r="H108" s="5" t="s">
        <v>82</v>
      </c>
      <c r="I108" s="4" t="str">
        <f>H111</f>
        <v>CANT</v>
      </c>
      <c r="J108" s="4"/>
    </row>
    <row r="109" spans="1:10" ht="15" customHeight="1" x14ac:dyDescent="0.3">
      <c r="A109" s="4" t="str">
        <f t="shared" si="39"/>
        <v>Round 10</v>
      </c>
      <c r="B109" s="38">
        <f t="shared" si="28"/>
        <v>46148</v>
      </c>
      <c r="C109" s="4" t="s">
        <v>14</v>
      </c>
      <c r="D109" s="4" t="s">
        <v>23</v>
      </c>
      <c r="E109" s="4"/>
      <c r="F109" s="7" t="s">
        <v>86</v>
      </c>
      <c r="G109" s="7" t="s">
        <v>12</v>
      </c>
      <c r="H109" s="7" t="s">
        <v>87</v>
      </c>
      <c r="I109" s="4" t="str">
        <f>H106</f>
        <v>The Upsetters</v>
      </c>
      <c r="J109" s="4" t="str">
        <f t="shared" ref="J109:J111" si="40">H109</f>
        <v>Fitxroy Rejects</v>
      </c>
    </row>
    <row r="110" spans="1:10" ht="15" customHeight="1" x14ac:dyDescent="0.3">
      <c r="A110" s="4" t="str">
        <f t="shared" si="39"/>
        <v>Round 10</v>
      </c>
      <c r="B110" s="38">
        <f t="shared" si="28"/>
        <v>46148</v>
      </c>
      <c r="C110" s="4" t="s">
        <v>17</v>
      </c>
      <c r="D110" s="4" t="s">
        <v>10</v>
      </c>
      <c r="E110" s="4"/>
      <c r="F110" s="5" t="s">
        <v>79</v>
      </c>
      <c r="G110" s="5" t="s">
        <v>12</v>
      </c>
      <c r="H110" s="5" t="s">
        <v>83</v>
      </c>
      <c r="I110" s="4" t="str">
        <f>F108</f>
        <v>Chewblockers</v>
      </c>
      <c r="J110" s="4" t="str">
        <f t="shared" si="40"/>
        <v>Mixed Mayhem</v>
      </c>
    </row>
    <row r="111" spans="1:10" ht="15" customHeight="1" x14ac:dyDescent="0.3">
      <c r="A111" s="4" t="str">
        <f t="shared" si="39"/>
        <v>Round 10</v>
      </c>
      <c r="B111" s="38">
        <f t="shared" si="28"/>
        <v>46148</v>
      </c>
      <c r="C111" s="4" t="s">
        <v>17</v>
      </c>
      <c r="D111" s="4" t="s">
        <v>20</v>
      </c>
      <c r="E111" s="4"/>
      <c r="F111" s="5" t="s">
        <v>81</v>
      </c>
      <c r="G111" s="5" t="s">
        <v>12</v>
      </c>
      <c r="H111" s="5" t="s">
        <v>80</v>
      </c>
      <c r="I111" s="4" t="str">
        <f>H108</f>
        <v>Fitzroy Ferals</v>
      </c>
      <c r="J111" s="4" t="str">
        <f t="shared" si="40"/>
        <v>CANT</v>
      </c>
    </row>
    <row r="112" spans="1:10" ht="15" customHeight="1" x14ac:dyDescent="0.3">
      <c r="A112" s="4" t="str">
        <f t="shared" si="39"/>
        <v>Round 10</v>
      </c>
      <c r="B112" s="38">
        <f t="shared" ref="B112" si="41">B111</f>
        <v>46148</v>
      </c>
      <c r="C112" s="4"/>
      <c r="D112" s="4" t="s">
        <v>92</v>
      </c>
      <c r="E112" s="4" t="s">
        <v>54</v>
      </c>
      <c r="F112" s="4"/>
      <c r="G112" s="4"/>
      <c r="H112" s="4"/>
      <c r="I112" s="4"/>
      <c r="J112" s="4"/>
    </row>
    <row r="113" spans="1:10" ht="15" customHeight="1" x14ac:dyDescent="0.3">
      <c r="B113" s="33"/>
    </row>
    <row r="114" spans="1:10" ht="15" customHeight="1" x14ac:dyDescent="0.3">
      <c r="A114" s="4" t="s">
        <v>37</v>
      </c>
      <c r="B114" s="38">
        <f t="shared" ref="B114" si="42">B104+7</f>
        <v>46155</v>
      </c>
      <c r="C114" s="11" t="s">
        <v>9</v>
      </c>
      <c r="D114" s="4" t="s">
        <v>10</v>
      </c>
      <c r="E114" s="4" t="str">
        <f t="shared" ref="E114" si="43">F114</f>
        <v>Dunlop Volley</v>
      </c>
      <c r="F114" s="5" t="s">
        <v>54</v>
      </c>
      <c r="G114" s="5" t="s">
        <v>12</v>
      </c>
      <c r="H114" s="5" t="s">
        <v>81</v>
      </c>
      <c r="I114" s="4" t="str">
        <f>F117</f>
        <v>Practice Safe Sets</v>
      </c>
      <c r="J114" s="4"/>
    </row>
    <row r="115" spans="1:10" ht="15" customHeight="1" x14ac:dyDescent="0.3">
      <c r="A115" s="4" t="str">
        <f>A114</f>
        <v>Round 11</v>
      </c>
      <c r="B115" s="38">
        <f t="shared" si="28"/>
        <v>46155</v>
      </c>
      <c r="C115" s="11" t="s">
        <v>9</v>
      </c>
      <c r="D115" s="4" t="s">
        <v>20</v>
      </c>
      <c r="E115" s="4" t="str">
        <f t="shared" si="35"/>
        <v>Pan Set</v>
      </c>
      <c r="F115" s="5" t="s">
        <v>84</v>
      </c>
      <c r="G115" s="5" t="s">
        <v>12</v>
      </c>
      <c r="H115" s="5" t="s">
        <v>55</v>
      </c>
      <c r="I115" s="4" t="str">
        <f>H117</f>
        <v>Mixed Mayhem</v>
      </c>
      <c r="J115" s="4"/>
    </row>
    <row r="116" spans="1:10" ht="15" customHeight="1" x14ac:dyDescent="0.3">
      <c r="A116" s="4" t="str">
        <f t="shared" ref="A116:A122" si="44">A115</f>
        <v>Round 11</v>
      </c>
      <c r="B116" s="38">
        <f t="shared" si="28"/>
        <v>46155</v>
      </c>
      <c r="C116" s="11" t="s">
        <v>9</v>
      </c>
      <c r="D116" s="4" t="s">
        <v>23</v>
      </c>
      <c r="E116" s="4" t="str">
        <f t="shared" si="35"/>
        <v>Fitxroy Rejects</v>
      </c>
      <c r="F116" s="7" t="s">
        <v>87</v>
      </c>
      <c r="G116" s="7" t="s">
        <v>12</v>
      </c>
      <c r="H116" s="7" t="s">
        <v>85</v>
      </c>
      <c r="I116" s="4" t="str">
        <f>F118</f>
        <v>The Upsetters</v>
      </c>
      <c r="J116" s="4"/>
    </row>
    <row r="117" spans="1:10" ht="15" customHeight="1" x14ac:dyDescent="0.3">
      <c r="A117" s="4" t="str">
        <f t="shared" si="44"/>
        <v>Round 11</v>
      </c>
      <c r="B117" s="38">
        <f t="shared" si="28"/>
        <v>46155</v>
      </c>
      <c r="C117" s="4" t="s">
        <v>14</v>
      </c>
      <c r="D117" s="4" t="s">
        <v>10</v>
      </c>
      <c r="E117" s="4"/>
      <c r="F117" s="5" t="s">
        <v>59</v>
      </c>
      <c r="G117" s="5" t="s">
        <v>12</v>
      </c>
      <c r="H117" s="5" t="s">
        <v>83</v>
      </c>
      <c r="I117" s="4" t="str">
        <f>F120</f>
        <v>Fitzroy Ferals</v>
      </c>
      <c r="J117" s="4"/>
    </row>
    <row r="118" spans="1:10" ht="15" customHeight="1" x14ac:dyDescent="0.3">
      <c r="A118" s="4" t="str">
        <f t="shared" si="44"/>
        <v>Round 11</v>
      </c>
      <c r="B118" s="38">
        <f t="shared" si="28"/>
        <v>46155</v>
      </c>
      <c r="C118" s="4" t="s">
        <v>14</v>
      </c>
      <c r="D118" s="4" t="s">
        <v>20</v>
      </c>
      <c r="E118" s="4"/>
      <c r="F118" s="7" t="s">
        <v>88</v>
      </c>
      <c r="G118" s="7" t="s">
        <v>12</v>
      </c>
      <c r="H118" s="7" t="s">
        <v>56</v>
      </c>
      <c r="I118" s="4" t="str">
        <f>H116</f>
        <v>Ballers</v>
      </c>
      <c r="J118" s="4"/>
    </row>
    <row r="119" spans="1:10" ht="15" customHeight="1" x14ac:dyDescent="0.3">
      <c r="A119" s="4" t="str">
        <f t="shared" si="44"/>
        <v>Round 11</v>
      </c>
      <c r="B119" s="38">
        <f t="shared" si="28"/>
        <v>46155</v>
      </c>
      <c r="C119" s="4" t="s">
        <v>14</v>
      </c>
      <c r="D119" s="4" t="s">
        <v>23</v>
      </c>
      <c r="E119" s="4"/>
      <c r="F119" s="7" t="s">
        <v>91</v>
      </c>
      <c r="G119" s="7" t="s">
        <v>12</v>
      </c>
      <c r="H119" s="7" t="s">
        <v>57</v>
      </c>
      <c r="I119" s="4" t="str">
        <f>H115</f>
        <v>Chewblockers</v>
      </c>
      <c r="J119" s="4" t="str">
        <f t="shared" ref="J119" si="45">H119</f>
        <v>That's What She Set</v>
      </c>
    </row>
    <row r="120" spans="1:10" ht="15" customHeight="1" x14ac:dyDescent="0.3">
      <c r="A120" s="4" t="str">
        <f t="shared" si="44"/>
        <v>Round 11</v>
      </c>
      <c r="B120" s="38">
        <f t="shared" si="28"/>
        <v>46155</v>
      </c>
      <c r="C120" s="11" t="s">
        <v>17</v>
      </c>
      <c r="D120" s="4" t="s">
        <v>10</v>
      </c>
      <c r="E120" s="4"/>
      <c r="F120" s="5" t="s">
        <v>82</v>
      </c>
      <c r="G120" s="5" t="s">
        <v>12</v>
      </c>
      <c r="H120" s="5" t="s">
        <v>80</v>
      </c>
      <c r="I120" s="4" t="str">
        <f>F119</f>
        <v>Whoopsies</v>
      </c>
      <c r="J120" s="4" t="str">
        <f>F120</f>
        <v>Fitzroy Ferals</v>
      </c>
    </row>
    <row r="121" spans="1:10" ht="15" customHeight="1" x14ac:dyDescent="0.3">
      <c r="A121" s="4" t="str">
        <f t="shared" si="44"/>
        <v>Round 11</v>
      </c>
      <c r="B121" s="38">
        <f t="shared" si="28"/>
        <v>46155</v>
      </c>
      <c r="C121" s="11" t="s">
        <v>17</v>
      </c>
      <c r="D121" s="4" t="s">
        <v>20</v>
      </c>
      <c r="E121" s="4"/>
      <c r="F121" s="7" t="s">
        <v>58</v>
      </c>
      <c r="G121" s="7" t="s">
        <v>12</v>
      </c>
      <c r="H121" s="7" t="s">
        <v>86</v>
      </c>
      <c r="I121" s="4" t="str">
        <f>H118</f>
        <v>Wilsons</v>
      </c>
      <c r="J121" s="4" t="str">
        <f t="shared" ref="J121" si="46">H121</f>
        <v>Fitxroy Freaks</v>
      </c>
    </row>
    <row r="122" spans="1:10" ht="15" customHeight="1" x14ac:dyDescent="0.3">
      <c r="A122" s="4" t="str">
        <f t="shared" si="44"/>
        <v>Round 11</v>
      </c>
      <c r="B122" s="38">
        <f t="shared" si="28"/>
        <v>46155</v>
      </c>
      <c r="C122" s="4"/>
      <c r="D122" s="4" t="s">
        <v>92</v>
      </c>
      <c r="E122" s="4" t="s">
        <v>79</v>
      </c>
      <c r="F122" s="4"/>
      <c r="G122" s="4"/>
      <c r="H122" s="4"/>
      <c r="I122" s="4"/>
      <c r="J122" s="4"/>
    </row>
    <row r="123" spans="1:10" ht="15" customHeight="1" x14ac:dyDescent="0.3">
      <c r="B123" s="33"/>
    </row>
    <row r="124" spans="1:10" ht="15" customHeight="1" x14ac:dyDescent="0.3">
      <c r="A124" s="4" t="s">
        <v>38</v>
      </c>
      <c r="B124" s="38">
        <f>B114+7</f>
        <v>46162</v>
      </c>
      <c r="C124" s="4" t="s">
        <v>9</v>
      </c>
      <c r="D124" s="4" t="s">
        <v>10</v>
      </c>
      <c r="E124" s="4" t="str">
        <f t="shared" ref="E124:E125" si="47">F124</f>
        <v>Wilsons</v>
      </c>
      <c r="F124" s="7" t="s">
        <v>56</v>
      </c>
      <c r="G124" s="7" t="s">
        <v>12</v>
      </c>
      <c r="H124" s="7" t="s">
        <v>57</v>
      </c>
      <c r="I124" s="4" t="str">
        <f>F129</f>
        <v>Fitxroy Rejects</v>
      </c>
      <c r="J124" s="4"/>
    </row>
    <row r="125" spans="1:10" ht="15" customHeight="1" x14ac:dyDescent="0.3">
      <c r="A125" s="4" t="str">
        <f>A124</f>
        <v>Round 12</v>
      </c>
      <c r="B125" s="38">
        <f t="shared" si="28"/>
        <v>46162</v>
      </c>
      <c r="C125" s="4" t="s">
        <v>9</v>
      </c>
      <c r="D125" s="4" t="s">
        <v>20</v>
      </c>
      <c r="E125" s="4" t="str">
        <f t="shared" si="47"/>
        <v>Fitxroy Freaks</v>
      </c>
      <c r="F125" s="7" t="s">
        <v>86</v>
      </c>
      <c r="G125" s="7" t="s">
        <v>12</v>
      </c>
      <c r="H125" s="7" t="s">
        <v>85</v>
      </c>
      <c r="I125" s="4" t="str">
        <f>H129</f>
        <v>Whoopsies</v>
      </c>
      <c r="J125" s="4"/>
    </row>
    <row r="126" spans="1:10" ht="15" customHeight="1" x14ac:dyDescent="0.3">
      <c r="A126" s="4" t="str">
        <f t="shared" ref="A126:A132" si="48">A125</f>
        <v>Round 12</v>
      </c>
      <c r="B126" s="38">
        <f t="shared" si="28"/>
        <v>46162</v>
      </c>
      <c r="C126" s="4" t="s">
        <v>9</v>
      </c>
      <c r="D126" s="4" t="s">
        <v>23</v>
      </c>
      <c r="E126" s="4" t="str">
        <f>F126</f>
        <v>The Upsetters</v>
      </c>
      <c r="F126" s="7" t="s">
        <v>88</v>
      </c>
      <c r="G126" s="7" t="s">
        <v>12</v>
      </c>
      <c r="H126" s="7" t="s">
        <v>58</v>
      </c>
      <c r="I126" s="4" t="str">
        <f>F127</f>
        <v>Dunlop Volley</v>
      </c>
      <c r="J126" s="4"/>
    </row>
    <row r="127" spans="1:10" ht="15" customHeight="1" x14ac:dyDescent="0.3">
      <c r="A127" s="4" t="str">
        <f t="shared" si="48"/>
        <v>Round 12</v>
      </c>
      <c r="B127" s="38">
        <f t="shared" si="28"/>
        <v>46162</v>
      </c>
      <c r="C127" s="4" t="s">
        <v>14</v>
      </c>
      <c r="D127" s="4" t="s">
        <v>10</v>
      </c>
      <c r="E127" s="4"/>
      <c r="F127" s="5" t="s">
        <v>54</v>
      </c>
      <c r="G127" s="5" t="s">
        <v>12</v>
      </c>
      <c r="H127" s="5" t="s">
        <v>79</v>
      </c>
      <c r="I127" s="4" t="str">
        <f>F130</f>
        <v>Casual Sets</v>
      </c>
      <c r="J127" s="4"/>
    </row>
    <row r="128" spans="1:10" ht="15" customHeight="1" x14ac:dyDescent="0.3">
      <c r="A128" s="4" t="str">
        <f t="shared" si="48"/>
        <v>Round 12</v>
      </c>
      <c r="B128" s="38">
        <f t="shared" si="28"/>
        <v>46162</v>
      </c>
      <c r="C128" s="4" t="s">
        <v>14</v>
      </c>
      <c r="D128" s="4" t="s">
        <v>20</v>
      </c>
      <c r="E128" s="4"/>
      <c r="F128" s="5" t="s">
        <v>82</v>
      </c>
      <c r="G128" s="5" t="s">
        <v>12</v>
      </c>
      <c r="H128" s="5" t="s">
        <v>84</v>
      </c>
      <c r="I128" s="4" t="str">
        <f>F131</f>
        <v>Chewblockers</v>
      </c>
      <c r="J128" s="4"/>
    </row>
    <row r="129" spans="1:10" ht="15" customHeight="1" x14ac:dyDescent="0.3">
      <c r="A129" s="4" t="str">
        <f t="shared" si="48"/>
        <v>Round 12</v>
      </c>
      <c r="B129" s="38">
        <f t="shared" si="28"/>
        <v>46162</v>
      </c>
      <c r="C129" s="4" t="s">
        <v>14</v>
      </c>
      <c r="D129" s="4" t="s">
        <v>23</v>
      </c>
      <c r="E129" s="4"/>
      <c r="F129" s="7" t="s">
        <v>87</v>
      </c>
      <c r="G129" s="7" t="s">
        <v>12</v>
      </c>
      <c r="H129" s="7" t="s">
        <v>91</v>
      </c>
      <c r="I129" s="4" t="str">
        <f>H126</f>
        <v>Netflicks</v>
      </c>
      <c r="J129" s="4" t="str">
        <f t="shared" ref="J129:J131" si="49">H129</f>
        <v>Whoopsies</v>
      </c>
    </row>
    <row r="130" spans="1:10" ht="15" customHeight="1" x14ac:dyDescent="0.3">
      <c r="A130" s="4" t="str">
        <f t="shared" si="48"/>
        <v>Round 12</v>
      </c>
      <c r="B130" s="38">
        <f t="shared" si="28"/>
        <v>46162</v>
      </c>
      <c r="C130" s="4" t="s">
        <v>17</v>
      </c>
      <c r="D130" s="4" t="s">
        <v>10</v>
      </c>
      <c r="E130" s="4"/>
      <c r="F130" s="5" t="s">
        <v>81</v>
      </c>
      <c r="G130" s="5" t="s">
        <v>12</v>
      </c>
      <c r="H130" s="5" t="s">
        <v>59</v>
      </c>
      <c r="I130" s="4" t="str">
        <f>H127</f>
        <v>Back In The Day</v>
      </c>
      <c r="J130" s="4" t="str">
        <f t="shared" si="49"/>
        <v>Practice Safe Sets</v>
      </c>
    </row>
    <row r="131" spans="1:10" ht="15" customHeight="1" x14ac:dyDescent="0.3">
      <c r="A131" s="4" t="str">
        <f t="shared" si="48"/>
        <v>Round 12</v>
      </c>
      <c r="B131" s="38">
        <f t="shared" si="28"/>
        <v>46162</v>
      </c>
      <c r="C131" s="4" t="s">
        <v>17</v>
      </c>
      <c r="D131" s="4" t="s">
        <v>20</v>
      </c>
      <c r="E131" s="4"/>
      <c r="F131" s="5" t="s">
        <v>55</v>
      </c>
      <c r="G131" s="5" t="s">
        <v>12</v>
      </c>
      <c r="H131" s="5" t="s">
        <v>83</v>
      </c>
      <c r="I131" s="4" t="str">
        <f>H128</f>
        <v>Pan Set</v>
      </c>
      <c r="J131" s="4" t="str">
        <f t="shared" si="49"/>
        <v>Mixed Mayhem</v>
      </c>
    </row>
    <row r="132" spans="1:10" ht="15" customHeight="1" x14ac:dyDescent="0.3">
      <c r="A132" s="4" t="str">
        <f t="shared" si="48"/>
        <v>Round 12</v>
      </c>
      <c r="B132" s="38">
        <f t="shared" ref="B132" si="50">B131</f>
        <v>46162</v>
      </c>
      <c r="C132" s="4"/>
      <c r="D132" s="4" t="s">
        <v>92</v>
      </c>
      <c r="E132" s="4" t="s">
        <v>80</v>
      </c>
      <c r="F132" s="4"/>
      <c r="G132" s="4"/>
      <c r="H132" s="4"/>
      <c r="I132" s="4"/>
      <c r="J132" s="4"/>
    </row>
    <row r="133" spans="1:10" ht="15" customHeight="1" x14ac:dyDescent="0.3">
      <c r="B133" s="33"/>
    </row>
    <row r="134" spans="1:10" ht="15" customHeight="1" x14ac:dyDescent="0.3">
      <c r="B134" s="33"/>
    </row>
    <row r="135" spans="1:10" ht="15" customHeight="1" x14ac:dyDescent="0.3">
      <c r="B135" s="33"/>
    </row>
    <row r="136" spans="1:10" ht="15" customHeight="1" x14ac:dyDescent="0.3">
      <c r="B136" s="33"/>
    </row>
    <row r="137" spans="1:10" ht="15" customHeight="1" x14ac:dyDescent="0.3">
      <c r="A137" s="12" t="s">
        <v>60</v>
      </c>
      <c r="B137" s="32" t="s">
        <v>0</v>
      </c>
      <c r="C137" s="12" t="s">
        <v>1</v>
      </c>
      <c r="D137" s="12" t="s">
        <v>2</v>
      </c>
      <c r="E137" s="12" t="s">
        <v>3</v>
      </c>
      <c r="F137" s="12" t="s">
        <v>4</v>
      </c>
      <c r="G137" s="12"/>
      <c r="H137" s="12" t="s">
        <v>5</v>
      </c>
      <c r="I137" s="12" t="s">
        <v>6</v>
      </c>
      <c r="J137" s="12" t="s">
        <v>7</v>
      </c>
    </row>
    <row r="138" spans="1:10" ht="15" customHeight="1" x14ac:dyDescent="0.3">
      <c r="A138" s="4" t="s">
        <v>39</v>
      </c>
      <c r="B138" s="38">
        <f t="shared" ref="B138" si="51">B124+7</f>
        <v>46169</v>
      </c>
      <c r="C138" s="4" t="s">
        <v>9</v>
      </c>
      <c r="D138" s="4" t="s">
        <v>10</v>
      </c>
      <c r="E138" s="4" t="str">
        <f t="shared" ref="E138:E150" si="52">F138</f>
        <v>Pan Set</v>
      </c>
      <c r="F138" s="5" t="s">
        <v>84</v>
      </c>
      <c r="G138" s="5" t="s">
        <v>12</v>
      </c>
      <c r="H138" s="5" t="s">
        <v>80</v>
      </c>
      <c r="I138" s="4" t="str">
        <f>F141</f>
        <v>Mixed Mayhem</v>
      </c>
      <c r="J138" s="4"/>
    </row>
    <row r="139" spans="1:10" ht="15" customHeight="1" x14ac:dyDescent="0.3">
      <c r="A139" s="4" t="str">
        <f>A138</f>
        <v>Round 13</v>
      </c>
      <c r="B139" s="38">
        <f t="shared" si="28"/>
        <v>46169</v>
      </c>
      <c r="C139" s="4" t="s">
        <v>9</v>
      </c>
      <c r="D139" s="4" t="s">
        <v>20</v>
      </c>
      <c r="E139" s="4" t="str">
        <f t="shared" si="52"/>
        <v>Practice Safe Sets</v>
      </c>
      <c r="F139" s="5" t="s">
        <v>59</v>
      </c>
      <c r="G139" s="5" t="s">
        <v>12</v>
      </c>
      <c r="H139" s="5" t="s">
        <v>79</v>
      </c>
      <c r="I139" s="4" t="str">
        <f>F142</f>
        <v>Chewblockers</v>
      </c>
      <c r="J139" s="4"/>
    </row>
    <row r="140" spans="1:10" ht="15" customHeight="1" x14ac:dyDescent="0.3">
      <c r="A140" s="4" t="str">
        <f t="shared" ref="A140:A146" si="53">A139</f>
        <v>Round 13</v>
      </c>
      <c r="B140" s="38">
        <f t="shared" si="28"/>
        <v>46169</v>
      </c>
      <c r="C140" s="4" t="s">
        <v>9</v>
      </c>
      <c r="D140" s="4" t="s">
        <v>23</v>
      </c>
      <c r="E140" s="4" t="str">
        <f t="shared" si="52"/>
        <v>The Upsetters</v>
      </c>
      <c r="F140" s="7" t="s">
        <v>88</v>
      </c>
      <c r="G140" s="7" t="s">
        <v>12</v>
      </c>
      <c r="H140" s="7" t="s">
        <v>86</v>
      </c>
      <c r="I140" s="4" t="str">
        <f>F143</f>
        <v>Ballers</v>
      </c>
      <c r="J140" s="4"/>
    </row>
    <row r="141" spans="1:10" ht="15" customHeight="1" x14ac:dyDescent="0.3">
      <c r="A141" s="4" t="str">
        <f t="shared" si="53"/>
        <v>Round 13</v>
      </c>
      <c r="B141" s="38">
        <f t="shared" si="28"/>
        <v>46169</v>
      </c>
      <c r="C141" s="4" t="s">
        <v>14</v>
      </c>
      <c r="D141" s="4" t="s">
        <v>10</v>
      </c>
      <c r="E141" s="4"/>
      <c r="F141" s="5" t="s">
        <v>83</v>
      </c>
      <c r="G141" s="5" t="s">
        <v>12</v>
      </c>
      <c r="H141" s="5" t="s">
        <v>54</v>
      </c>
      <c r="I141" s="4" t="str">
        <f>H138</f>
        <v>CANT</v>
      </c>
      <c r="J141" s="4"/>
    </row>
    <row r="142" spans="1:10" ht="15" customHeight="1" x14ac:dyDescent="0.3">
      <c r="A142" s="4" t="str">
        <f t="shared" si="53"/>
        <v>Round 13</v>
      </c>
      <c r="B142" s="38">
        <f t="shared" si="28"/>
        <v>46169</v>
      </c>
      <c r="C142" s="4" t="s">
        <v>14</v>
      </c>
      <c r="D142" s="4" t="s">
        <v>20</v>
      </c>
      <c r="E142" s="4"/>
      <c r="F142" s="5" t="s">
        <v>55</v>
      </c>
      <c r="G142" s="5" t="s">
        <v>12</v>
      </c>
      <c r="H142" s="5" t="s">
        <v>81</v>
      </c>
      <c r="I142" s="4" t="str">
        <f>H139</f>
        <v>Back In The Day</v>
      </c>
      <c r="J142" s="4"/>
    </row>
    <row r="143" spans="1:10" ht="15" customHeight="1" x14ac:dyDescent="0.3">
      <c r="A143" s="4" t="str">
        <f t="shared" si="53"/>
        <v>Round 13</v>
      </c>
      <c r="B143" s="38">
        <f t="shared" si="28"/>
        <v>46169</v>
      </c>
      <c r="C143" s="4" t="s">
        <v>14</v>
      </c>
      <c r="D143" s="4" t="s">
        <v>23</v>
      </c>
      <c r="E143" s="4"/>
      <c r="F143" s="7" t="s">
        <v>85</v>
      </c>
      <c r="G143" s="7" t="s">
        <v>12</v>
      </c>
      <c r="H143" s="7" t="s">
        <v>91</v>
      </c>
      <c r="I143" s="4" t="str">
        <f>H140</f>
        <v>Fitxroy Freaks</v>
      </c>
      <c r="J143" s="4" t="str">
        <f t="shared" ref="J143:J145" si="54">H143</f>
        <v>Whoopsies</v>
      </c>
    </row>
    <row r="144" spans="1:10" ht="15" customHeight="1" x14ac:dyDescent="0.3">
      <c r="A144" s="4" t="str">
        <f t="shared" si="53"/>
        <v>Round 13</v>
      </c>
      <c r="B144" s="38">
        <f t="shared" si="28"/>
        <v>46169</v>
      </c>
      <c r="C144" s="4" t="s">
        <v>17</v>
      </c>
      <c r="D144" s="4" t="s">
        <v>10</v>
      </c>
      <c r="E144" s="4"/>
      <c r="F144" s="7" t="s">
        <v>57</v>
      </c>
      <c r="G144" s="7" t="s">
        <v>12</v>
      </c>
      <c r="H144" s="7" t="s">
        <v>58</v>
      </c>
      <c r="I144" s="4" t="str">
        <f>H141</f>
        <v>Dunlop Volley</v>
      </c>
      <c r="J144" s="4" t="str">
        <f t="shared" si="54"/>
        <v>Netflicks</v>
      </c>
    </row>
    <row r="145" spans="1:13" ht="15" customHeight="1" x14ac:dyDescent="0.3">
      <c r="A145" s="4" t="str">
        <f t="shared" si="53"/>
        <v>Round 13</v>
      </c>
      <c r="B145" s="38">
        <f t="shared" si="28"/>
        <v>46169</v>
      </c>
      <c r="C145" s="4" t="s">
        <v>17</v>
      </c>
      <c r="D145" s="4" t="s">
        <v>20</v>
      </c>
      <c r="E145" s="4"/>
      <c r="F145" s="7" t="s">
        <v>56</v>
      </c>
      <c r="G145" s="7" t="s">
        <v>12</v>
      </c>
      <c r="H145" s="7" t="s">
        <v>87</v>
      </c>
      <c r="I145" s="4" t="str">
        <f>H142</f>
        <v>Casual Sets</v>
      </c>
      <c r="J145" s="4" t="str">
        <f t="shared" si="54"/>
        <v>Fitxroy Rejects</v>
      </c>
    </row>
    <row r="146" spans="1:13" ht="15" customHeight="1" x14ac:dyDescent="0.3">
      <c r="A146" s="4" t="str">
        <f t="shared" si="53"/>
        <v>Round 13</v>
      </c>
      <c r="B146" s="38">
        <f t="shared" si="28"/>
        <v>46169</v>
      </c>
      <c r="C146" s="4"/>
      <c r="D146" s="4" t="s">
        <v>92</v>
      </c>
      <c r="E146" s="4" t="s">
        <v>82</v>
      </c>
      <c r="F146" s="4"/>
      <c r="G146" s="4"/>
      <c r="H146" s="4"/>
      <c r="I146" s="4"/>
      <c r="J146" s="4"/>
    </row>
    <row r="147" spans="1:13" ht="15" customHeight="1" x14ac:dyDescent="0.3">
      <c r="B147" s="33"/>
    </row>
    <row r="148" spans="1:13" ht="15" customHeight="1" x14ac:dyDescent="0.3">
      <c r="A148" s="4" t="s">
        <v>40</v>
      </c>
      <c r="B148" s="38">
        <f t="shared" ref="B148" si="55">B138+7</f>
        <v>46176</v>
      </c>
      <c r="C148" s="4" t="s">
        <v>9</v>
      </c>
      <c r="D148" s="4" t="s">
        <v>10</v>
      </c>
      <c r="E148" s="4" t="str">
        <f t="shared" ref="E148" si="56">F148</f>
        <v>Fitzroy Ferals</v>
      </c>
      <c r="F148" s="5" t="s">
        <v>82</v>
      </c>
      <c r="G148" s="5" t="s">
        <v>12</v>
      </c>
      <c r="H148" s="5" t="s">
        <v>81</v>
      </c>
      <c r="I148" s="4" t="str">
        <f>F151</f>
        <v>Pan Set</v>
      </c>
      <c r="J148" s="4"/>
    </row>
    <row r="149" spans="1:13" ht="15" customHeight="1" x14ac:dyDescent="0.3">
      <c r="A149" s="4" t="str">
        <f>A148</f>
        <v>Round 14</v>
      </c>
      <c r="B149" s="38">
        <f t="shared" si="28"/>
        <v>46176</v>
      </c>
      <c r="C149" s="4" t="s">
        <v>9</v>
      </c>
      <c r="D149" s="4" t="s">
        <v>20</v>
      </c>
      <c r="E149" s="4" t="str">
        <f t="shared" si="52"/>
        <v>Netflicks</v>
      </c>
      <c r="F149" s="7" t="s">
        <v>58</v>
      </c>
      <c r="G149" s="7" t="s">
        <v>12</v>
      </c>
      <c r="H149" s="7" t="s">
        <v>87</v>
      </c>
      <c r="I149" s="4" t="str">
        <f>F153</f>
        <v>Ballers</v>
      </c>
      <c r="J149" s="4"/>
    </row>
    <row r="150" spans="1:13" ht="15" customHeight="1" x14ac:dyDescent="0.3">
      <c r="A150" s="4" t="str">
        <f t="shared" ref="A150:B156" si="57">A149</f>
        <v>Round 14</v>
      </c>
      <c r="B150" s="38">
        <f t="shared" si="57"/>
        <v>46176</v>
      </c>
      <c r="C150" s="4" t="s">
        <v>9</v>
      </c>
      <c r="D150" s="4" t="s">
        <v>23</v>
      </c>
      <c r="E150" s="4" t="str">
        <f t="shared" si="52"/>
        <v>The Upsetters</v>
      </c>
      <c r="F150" s="7" t="s">
        <v>88</v>
      </c>
      <c r="G150" s="7" t="s">
        <v>12</v>
      </c>
      <c r="H150" s="7" t="s">
        <v>56</v>
      </c>
      <c r="I150" s="4" t="str">
        <f>H153</f>
        <v>That's What She Set</v>
      </c>
      <c r="J150" s="4"/>
    </row>
    <row r="151" spans="1:13" ht="15" customHeight="1" x14ac:dyDescent="0.3">
      <c r="A151" s="4" t="str">
        <f t="shared" si="57"/>
        <v>Round 14</v>
      </c>
      <c r="B151" s="38">
        <f t="shared" si="57"/>
        <v>46176</v>
      </c>
      <c r="C151" s="4" t="s">
        <v>14</v>
      </c>
      <c r="D151" s="4" t="s">
        <v>10</v>
      </c>
      <c r="E151" s="4"/>
      <c r="F151" s="5" t="s">
        <v>84</v>
      </c>
      <c r="G151" s="5" t="s">
        <v>12</v>
      </c>
      <c r="H151" s="5" t="s">
        <v>55</v>
      </c>
      <c r="I151" s="4" t="str">
        <f>H148</f>
        <v>Casual Sets</v>
      </c>
      <c r="J151" s="4"/>
    </row>
    <row r="152" spans="1:13" ht="15" customHeight="1" x14ac:dyDescent="0.3">
      <c r="A152" s="4" t="str">
        <f t="shared" si="57"/>
        <v>Round 14</v>
      </c>
      <c r="B152" s="38">
        <f t="shared" si="57"/>
        <v>46176</v>
      </c>
      <c r="C152" s="4" t="s">
        <v>14</v>
      </c>
      <c r="D152" s="4" t="s">
        <v>20</v>
      </c>
      <c r="E152" s="4"/>
      <c r="F152" s="5" t="s">
        <v>79</v>
      </c>
      <c r="G152" s="5" t="s">
        <v>12</v>
      </c>
      <c r="H152" s="5" t="s">
        <v>83</v>
      </c>
      <c r="I152" s="4" t="str">
        <f>H154</f>
        <v>Dunlop Volley</v>
      </c>
      <c r="J152" s="4"/>
    </row>
    <row r="153" spans="1:13" ht="15" customHeight="1" x14ac:dyDescent="0.3">
      <c r="A153" s="4" t="str">
        <f t="shared" si="57"/>
        <v>Round 14</v>
      </c>
      <c r="B153" s="38">
        <f t="shared" si="57"/>
        <v>46176</v>
      </c>
      <c r="C153" s="4" t="s">
        <v>14</v>
      </c>
      <c r="D153" s="4" t="s">
        <v>23</v>
      </c>
      <c r="E153" s="4"/>
      <c r="F153" s="7" t="s">
        <v>85</v>
      </c>
      <c r="G153" s="7" t="s">
        <v>12</v>
      </c>
      <c r="H153" s="7" t="s">
        <v>57</v>
      </c>
      <c r="I153" s="4" t="str">
        <f>H150</f>
        <v>Wilsons</v>
      </c>
      <c r="J153" s="4" t="str">
        <f t="shared" ref="J153" si="58">H153</f>
        <v>That's What She Set</v>
      </c>
    </row>
    <row r="154" spans="1:13" ht="15" customHeight="1" x14ac:dyDescent="0.3">
      <c r="A154" s="4" t="str">
        <f t="shared" si="57"/>
        <v>Round 14</v>
      </c>
      <c r="B154" s="38">
        <f t="shared" si="57"/>
        <v>46176</v>
      </c>
      <c r="C154" s="4" t="s">
        <v>17</v>
      </c>
      <c r="D154" s="4" t="s">
        <v>10</v>
      </c>
      <c r="E154" s="4"/>
      <c r="F154" s="5" t="s">
        <v>80</v>
      </c>
      <c r="G154" s="5" t="s">
        <v>12</v>
      </c>
      <c r="H154" s="5" t="s">
        <v>54</v>
      </c>
      <c r="I154" s="4" t="str">
        <f>F152</f>
        <v>Back In The Day</v>
      </c>
      <c r="J154" s="4" t="str">
        <f>F154</f>
        <v>CANT</v>
      </c>
    </row>
    <row r="155" spans="1:13" ht="15" customHeight="1" x14ac:dyDescent="0.3">
      <c r="A155" s="4" t="str">
        <f t="shared" si="57"/>
        <v>Round 14</v>
      </c>
      <c r="B155" s="38">
        <f t="shared" si="57"/>
        <v>46176</v>
      </c>
      <c r="C155" s="4" t="s">
        <v>17</v>
      </c>
      <c r="D155" s="4" t="s">
        <v>20</v>
      </c>
      <c r="E155" s="4"/>
      <c r="F155" s="7" t="s">
        <v>86</v>
      </c>
      <c r="G155" s="7" t="s">
        <v>12</v>
      </c>
      <c r="H155" s="7" t="s">
        <v>91</v>
      </c>
      <c r="I155" s="4" t="str">
        <f>H152</f>
        <v>Mixed Mayhem</v>
      </c>
      <c r="J155" s="4" t="str">
        <f t="shared" ref="J155" si="59">H155</f>
        <v>Whoopsies</v>
      </c>
    </row>
    <row r="156" spans="1:13" ht="15" customHeight="1" x14ac:dyDescent="0.3">
      <c r="A156" s="4" t="str">
        <f t="shared" si="57"/>
        <v>Round 14</v>
      </c>
      <c r="B156" s="38">
        <f t="shared" si="57"/>
        <v>46176</v>
      </c>
      <c r="C156" s="4"/>
      <c r="D156" s="4" t="s">
        <v>92</v>
      </c>
      <c r="E156" s="4" t="s">
        <v>59</v>
      </c>
      <c r="F156" s="4"/>
      <c r="G156" s="4"/>
      <c r="H156" s="4"/>
      <c r="I156" s="4"/>
      <c r="J156" s="4"/>
    </row>
    <row r="157" spans="1:13" ht="15" customHeight="1" x14ac:dyDescent="0.3">
      <c r="B157" s="33"/>
    </row>
    <row r="158" spans="1:13" customFormat="1" ht="15" customHeight="1" x14ac:dyDescent="0.3">
      <c r="A158" s="34" t="s">
        <v>89</v>
      </c>
      <c r="B158" s="9">
        <f>B152+7</f>
        <v>46183</v>
      </c>
      <c r="C158" s="35"/>
      <c r="D158" s="34"/>
      <c r="E158" s="34"/>
      <c r="F158" s="34"/>
      <c r="G158" s="34"/>
      <c r="H158" s="34"/>
      <c r="I158" s="34"/>
      <c r="J158" s="34"/>
      <c r="K158" s="14"/>
      <c r="L158" s="14"/>
      <c r="M158" s="14"/>
    </row>
    <row r="159" spans="1:13" customFormat="1" ht="15" customHeight="1" x14ac:dyDescent="0.3">
      <c r="A159" s="36" t="s">
        <v>43</v>
      </c>
      <c r="B159" s="23">
        <f>B158+7</f>
        <v>46190</v>
      </c>
      <c r="C159" s="37"/>
      <c r="D159" s="36"/>
      <c r="E159" s="36"/>
      <c r="F159" s="36"/>
      <c r="G159" s="36"/>
      <c r="H159" s="36"/>
      <c r="I159" s="36"/>
      <c r="J159" s="36"/>
      <c r="K159" s="14"/>
      <c r="L159" s="14"/>
      <c r="M159" s="14"/>
    </row>
    <row r="171" spans="1:12" ht="15" customHeight="1" x14ac:dyDescent="0.3">
      <c r="A171" s="2" t="s">
        <v>9</v>
      </c>
      <c r="B171" s="31" t="s">
        <v>14</v>
      </c>
      <c r="C171" s="2" t="s">
        <v>17</v>
      </c>
      <c r="D171" s="2" t="s">
        <v>78</v>
      </c>
      <c r="F171" s="2" t="s">
        <v>30</v>
      </c>
      <c r="J171" s="2" t="s">
        <v>31</v>
      </c>
      <c r="K171" s="2" t="s">
        <v>32</v>
      </c>
      <c r="L171" s="2" t="s">
        <v>33</v>
      </c>
    </row>
    <row r="172" spans="1:12" ht="15" customHeight="1" x14ac:dyDescent="0.3">
      <c r="A172" s="2">
        <f t="shared" ref="A172:C180" si="60">COUNTIFS($F$1:$F$155,$E172,$C$1:$C$155,A$171)+COUNTIFS($H$1:$H$155,$E172,$C$1:$C$155,A$171)</f>
        <v>3</v>
      </c>
      <c r="B172" s="2">
        <f t="shared" si="60"/>
        <v>7</v>
      </c>
      <c r="C172" s="2">
        <f t="shared" si="60"/>
        <v>2</v>
      </c>
      <c r="D172" s="2">
        <f>A172+B172+C172</f>
        <v>12</v>
      </c>
      <c r="E172" s="2" t="s">
        <v>79</v>
      </c>
      <c r="F172" s="2">
        <f t="shared" ref="F172:G180" si="61">COUNTIF(E$2:E$158,$E172)</f>
        <v>3</v>
      </c>
      <c r="G172" s="2">
        <f t="shared" si="61"/>
        <v>8</v>
      </c>
      <c r="I172" s="2">
        <f t="shared" ref="I172:K180" si="62">COUNTIF(H$2:H$158,$E172)</f>
        <v>4</v>
      </c>
      <c r="J172" s="2">
        <f t="shared" si="62"/>
        <v>9</v>
      </c>
      <c r="K172" s="2">
        <f t="shared" si="62"/>
        <v>0</v>
      </c>
      <c r="L172" s="2">
        <f>F172+J172+K172</f>
        <v>12</v>
      </c>
    </row>
    <row r="173" spans="1:12" ht="15" customHeight="1" x14ac:dyDescent="0.3">
      <c r="A173" s="2">
        <f t="shared" si="60"/>
        <v>6</v>
      </c>
      <c r="B173" s="2">
        <f t="shared" si="60"/>
        <v>1</v>
      </c>
      <c r="C173" s="2">
        <f t="shared" si="60"/>
        <v>5</v>
      </c>
      <c r="D173" s="2">
        <f t="shared" ref="D173:D190" si="63">A173+B173+C173</f>
        <v>12</v>
      </c>
      <c r="E173" s="2" t="s">
        <v>80</v>
      </c>
      <c r="F173" s="2">
        <f t="shared" si="61"/>
        <v>4</v>
      </c>
      <c r="G173" s="2">
        <f t="shared" si="61"/>
        <v>5</v>
      </c>
      <c r="I173" s="2">
        <f t="shared" si="62"/>
        <v>7</v>
      </c>
      <c r="J173" s="2">
        <f t="shared" si="62"/>
        <v>6</v>
      </c>
      <c r="K173" s="2">
        <f t="shared" si="62"/>
        <v>3</v>
      </c>
      <c r="L173" s="2">
        <f t="shared" ref="L173:L179" si="64">F173+J173+K173</f>
        <v>13</v>
      </c>
    </row>
    <row r="174" spans="1:12" ht="15" customHeight="1" x14ac:dyDescent="0.3">
      <c r="A174" s="2">
        <f t="shared" si="60"/>
        <v>5</v>
      </c>
      <c r="B174" s="2">
        <f t="shared" si="60"/>
        <v>2</v>
      </c>
      <c r="C174" s="2">
        <f t="shared" si="60"/>
        <v>6</v>
      </c>
      <c r="D174" s="2">
        <f t="shared" si="63"/>
        <v>13</v>
      </c>
      <c r="E174" s="2" t="s">
        <v>81</v>
      </c>
      <c r="F174" s="2">
        <f t="shared" si="61"/>
        <v>2</v>
      </c>
      <c r="G174" s="2">
        <f t="shared" si="61"/>
        <v>5</v>
      </c>
      <c r="I174" s="2">
        <f t="shared" si="62"/>
        <v>8</v>
      </c>
      <c r="J174" s="2">
        <f t="shared" si="62"/>
        <v>9</v>
      </c>
      <c r="K174" s="2">
        <f t="shared" si="62"/>
        <v>2</v>
      </c>
      <c r="L174" s="2">
        <f t="shared" si="64"/>
        <v>13</v>
      </c>
    </row>
    <row r="175" spans="1:12" ht="15" customHeight="1" x14ac:dyDescent="0.3">
      <c r="A175" s="2">
        <f t="shared" si="60"/>
        <v>4</v>
      </c>
      <c r="B175" s="2">
        <f t="shared" si="60"/>
        <v>7</v>
      </c>
      <c r="C175" s="2">
        <f t="shared" si="60"/>
        <v>2</v>
      </c>
      <c r="D175" s="2">
        <f t="shared" si="63"/>
        <v>13</v>
      </c>
      <c r="E175" s="2" t="s">
        <v>55</v>
      </c>
      <c r="F175" s="2">
        <f t="shared" si="61"/>
        <v>3</v>
      </c>
      <c r="G175" s="2">
        <f t="shared" si="61"/>
        <v>9</v>
      </c>
      <c r="I175" s="2">
        <f t="shared" si="62"/>
        <v>4</v>
      </c>
      <c r="J175" s="2">
        <f t="shared" si="62"/>
        <v>9</v>
      </c>
      <c r="K175" s="2">
        <f t="shared" si="62"/>
        <v>1</v>
      </c>
      <c r="L175" s="2">
        <f t="shared" si="64"/>
        <v>13</v>
      </c>
    </row>
    <row r="176" spans="1:12" ht="15" customHeight="1" x14ac:dyDescent="0.3">
      <c r="A176" s="2">
        <f t="shared" si="60"/>
        <v>2</v>
      </c>
      <c r="B176" s="2">
        <f t="shared" si="60"/>
        <v>8</v>
      </c>
      <c r="C176" s="2">
        <f t="shared" si="60"/>
        <v>2</v>
      </c>
      <c r="D176" s="2">
        <f t="shared" si="63"/>
        <v>12</v>
      </c>
      <c r="E176" s="2" t="s">
        <v>82</v>
      </c>
      <c r="F176" s="2">
        <f t="shared" si="61"/>
        <v>4</v>
      </c>
      <c r="G176" s="2">
        <f t="shared" si="61"/>
        <v>7</v>
      </c>
      <c r="I176" s="2">
        <f t="shared" si="62"/>
        <v>5</v>
      </c>
      <c r="J176" s="2">
        <f t="shared" si="62"/>
        <v>7</v>
      </c>
      <c r="K176" s="2">
        <f t="shared" si="62"/>
        <v>2</v>
      </c>
      <c r="L176" s="2">
        <f t="shared" si="64"/>
        <v>13</v>
      </c>
    </row>
    <row r="177" spans="1:12" ht="15" customHeight="1" x14ac:dyDescent="0.3">
      <c r="A177" s="2">
        <f t="shared" si="60"/>
        <v>4</v>
      </c>
      <c r="B177" s="2">
        <f t="shared" si="60"/>
        <v>5</v>
      </c>
      <c r="C177" s="2">
        <f t="shared" si="60"/>
        <v>4</v>
      </c>
      <c r="D177" s="2">
        <f t="shared" si="63"/>
        <v>13</v>
      </c>
      <c r="E177" s="2" t="s">
        <v>83</v>
      </c>
      <c r="F177" s="2">
        <f t="shared" si="61"/>
        <v>2</v>
      </c>
      <c r="G177" s="2">
        <f t="shared" si="61"/>
        <v>2</v>
      </c>
      <c r="I177" s="2">
        <f t="shared" si="62"/>
        <v>11</v>
      </c>
      <c r="J177" s="2">
        <f t="shared" si="62"/>
        <v>8</v>
      </c>
      <c r="K177" s="2">
        <f t="shared" si="62"/>
        <v>4</v>
      </c>
      <c r="L177" s="2">
        <f t="shared" si="64"/>
        <v>14</v>
      </c>
    </row>
    <row r="178" spans="1:12" ht="15" customHeight="1" x14ac:dyDescent="0.3">
      <c r="A178" s="2">
        <f t="shared" si="60"/>
        <v>4</v>
      </c>
      <c r="B178" s="2">
        <f t="shared" si="60"/>
        <v>7</v>
      </c>
      <c r="C178" s="2">
        <f t="shared" si="60"/>
        <v>2</v>
      </c>
      <c r="D178" s="2">
        <f t="shared" si="63"/>
        <v>13</v>
      </c>
      <c r="E178" s="2" t="s">
        <v>84</v>
      </c>
      <c r="F178" s="2">
        <f t="shared" si="61"/>
        <v>5</v>
      </c>
      <c r="G178" s="2">
        <f t="shared" si="61"/>
        <v>7</v>
      </c>
      <c r="I178" s="2">
        <f t="shared" si="62"/>
        <v>6</v>
      </c>
      <c r="J178" s="2">
        <f t="shared" si="62"/>
        <v>8</v>
      </c>
      <c r="K178" s="2">
        <f t="shared" si="62"/>
        <v>0</v>
      </c>
      <c r="L178" s="2">
        <f t="shared" si="64"/>
        <v>13</v>
      </c>
    </row>
    <row r="179" spans="1:12" ht="15" customHeight="1" x14ac:dyDescent="0.3">
      <c r="A179" s="2">
        <f t="shared" si="60"/>
        <v>2</v>
      </c>
      <c r="B179" s="2">
        <f t="shared" si="60"/>
        <v>7</v>
      </c>
      <c r="C179" s="2">
        <f t="shared" si="60"/>
        <v>3</v>
      </c>
      <c r="D179" s="2">
        <f t="shared" si="63"/>
        <v>12</v>
      </c>
      <c r="E179" s="2" t="s">
        <v>59</v>
      </c>
      <c r="F179" s="2">
        <f t="shared" si="61"/>
        <v>4</v>
      </c>
      <c r="G179" s="2">
        <f t="shared" si="61"/>
        <v>6</v>
      </c>
      <c r="I179" s="2">
        <f t="shared" si="62"/>
        <v>6</v>
      </c>
      <c r="J179" s="2">
        <f t="shared" si="62"/>
        <v>7</v>
      </c>
      <c r="K179" s="2">
        <f t="shared" si="62"/>
        <v>2</v>
      </c>
      <c r="L179" s="2">
        <f t="shared" si="64"/>
        <v>13</v>
      </c>
    </row>
    <row r="180" spans="1:12" ht="15" customHeight="1" x14ac:dyDescent="0.3">
      <c r="A180" s="2">
        <f t="shared" si="60"/>
        <v>2</v>
      </c>
      <c r="B180" s="2">
        <f t="shared" si="60"/>
        <v>8</v>
      </c>
      <c r="C180" s="2">
        <f t="shared" si="60"/>
        <v>2</v>
      </c>
      <c r="D180" s="2">
        <f t="shared" ref="D180" si="65">A180+B180+C180</f>
        <v>12</v>
      </c>
      <c r="E180" s="2" t="s">
        <v>54</v>
      </c>
      <c r="F180" s="2">
        <f t="shared" si="61"/>
        <v>3</v>
      </c>
      <c r="G180" s="2">
        <f t="shared" si="61"/>
        <v>7</v>
      </c>
      <c r="I180" s="2">
        <f t="shared" si="62"/>
        <v>5</v>
      </c>
      <c r="J180" s="2">
        <f t="shared" si="62"/>
        <v>9</v>
      </c>
      <c r="K180" s="2">
        <f t="shared" si="62"/>
        <v>2</v>
      </c>
      <c r="L180" s="2">
        <f t="shared" ref="L180" si="66">F180+J180+K180</f>
        <v>14</v>
      </c>
    </row>
    <row r="181" spans="1:12" ht="15" customHeight="1" x14ac:dyDescent="0.3">
      <c r="B181" s="2"/>
    </row>
    <row r="182" spans="1:12" ht="15" customHeight="1" x14ac:dyDescent="0.3">
      <c r="B182" s="2"/>
      <c r="F182" s="2" t="s">
        <v>30</v>
      </c>
      <c r="J182" s="2" t="s">
        <v>31</v>
      </c>
      <c r="K182" s="2" t="s">
        <v>32</v>
      </c>
      <c r="L182" s="2" t="s">
        <v>33</v>
      </c>
    </row>
    <row r="183" spans="1:12" ht="15" customHeight="1" x14ac:dyDescent="0.3">
      <c r="A183" s="2">
        <f t="shared" ref="A183:C190" si="67">COUNTIFS($F$1:$F$155,$E183,$C$1:$C$155,A$171)+COUNTIFS($H$1:$H$155,$E183,$C$1:$C$155,A$171)</f>
        <v>8</v>
      </c>
      <c r="B183" s="2">
        <f t="shared" si="67"/>
        <v>4</v>
      </c>
      <c r="C183" s="2">
        <f t="shared" si="67"/>
        <v>2</v>
      </c>
      <c r="D183" s="2">
        <f t="shared" si="63"/>
        <v>14</v>
      </c>
      <c r="E183" s="2" t="s">
        <v>85</v>
      </c>
      <c r="F183" s="2">
        <f t="shared" ref="F183:G190" si="68">COUNTIF(E$2:E$158,$E183)</f>
        <v>2</v>
      </c>
      <c r="G183" s="2">
        <f t="shared" si="68"/>
        <v>8</v>
      </c>
      <c r="I183" s="2">
        <f t="shared" ref="I183:K190" si="69">COUNTIF(H$2:H$158,$E183)</f>
        <v>6</v>
      </c>
      <c r="J183" s="2">
        <f t="shared" si="69"/>
        <v>6</v>
      </c>
      <c r="K183" s="2">
        <f t="shared" si="69"/>
        <v>2</v>
      </c>
      <c r="L183" s="2">
        <f>F183+J183+K183</f>
        <v>10</v>
      </c>
    </row>
    <row r="184" spans="1:12" ht="15" customHeight="1" x14ac:dyDescent="0.3">
      <c r="A184" s="2">
        <f t="shared" si="67"/>
        <v>7</v>
      </c>
      <c r="B184" s="2">
        <f t="shared" si="67"/>
        <v>2</v>
      </c>
      <c r="C184" s="2">
        <f t="shared" si="67"/>
        <v>5</v>
      </c>
      <c r="D184" s="2">
        <f t="shared" si="63"/>
        <v>14</v>
      </c>
      <c r="E184" s="2" t="s">
        <v>86</v>
      </c>
      <c r="F184" s="2">
        <f t="shared" si="68"/>
        <v>4</v>
      </c>
      <c r="G184" s="2">
        <f t="shared" si="68"/>
        <v>8</v>
      </c>
      <c r="I184" s="2">
        <f t="shared" si="69"/>
        <v>6</v>
      </c>
      <c r="J184" s="2">
        <f t="shared" si="69"/>
        <v>5</v>
      </c>
      <c r="K184" s="2">
        <f t="shared" si="69"/>
        <v>2</v>
      </c>
      <c r="L184" s="2">
        <f t="shared" ref="L184:L190" si="70">F184+J184+K184</f>
        <v>11</v>
      </c>
    </row>
    <row r="185" spans="1:12" ht="15" customHeight="1" x14ac:dyDescent="0.3">
      <c r="A185" s="2">
        <f t="shared" si="67"/>
        <v>5</v>
      </c>
      <c r="B185" s="2">
        <f t="shared" si="67"/>
        <v>6</v>
      </c>
      <c r="C185" s="2">
        <f t="shared" si="67"/>
        <v>3</v>
      </c>
      <c r="D185" s="2">
        <f t="shared" si="63"/>
        <v>14</v>
      </c>
      <c r="E185" s="2" t="s">
        <v>87</v>
      </c>
      <c r="F185" s="2">
        <f t="shared" si="68"/>
        <v>2</v>
      </c>
      <c r="G185" s="2">
        <f t="shared" si="68"/>
        <v>6</v>
      </c>
      <c r="I185" s="2">
        <f t="shared" si="69"/>
        <v>8</v>
      </c>
      <c r="J185" s="2">
        <f t="shared" si="69"/>
        <v>5</v>
      </c>
      <c r="K185" s="2">
        <f t="shared" si="69"/>
        <v>5</v>
      </c>
      <c r="L185" s="2">
        <f t="shared" si="70"/>
        <v>12</v>
      </c>
    </row>
    <row r="186" spans="1:12" ht="15" customHeight="1" x14ac:dyDescent="0.3">
      <c r="A186" s="2">
        <f t="shared" si="67"/>
        <v>8</v>
      </c>
      <c r="B186" s="2">
        <f t="shared" si="67"/>
        <v>2</v>
      </c>
      <c r="C186" s="2">
        <f t="shared" si="67"/>
        <v>4</v>
      </c>
      <c r="D186" s="2">
        <f t="shared" si="63"/>
        <v>14</v>
      </c>
      <c r="E186" s="2" t="s">
        <v>56</v>
      </c>
      <c r="F186" s="2">
        <f t="shared" si="68"/>
        <v>6</v>
      </c>
      <c r="G186" s="2">
        <f t="shared" si="68"/>
        <v>10</v>
      </c>
      <c r="I186" s="2">
        <f t="shared" si="69"/>
        <v>4</v>
      </c>
      <c r="J186" s="2">
        <f t="shared" si="69"/>
        <v>4</v>
      </c>
      <c r="K186" s="2">
        <f t="shared" si="69"/>
        <v>2</v>
      </c>
      <c r="L186" s="2">
        <f t="shared" si="70"/>
        <v>12</v>
      </c>
    </row>
    <row r="187" spans="1:12" ht="15" customHeight="1" x14ac:dyDescent="0.3">
      <c r="A187" s="2">
        <f t="shared" si="67"/>
        <v>9</v>
      </c>
      <c r="B187" s="2">
        <f t="shared" si="67"/>
        <v>0</v>
      </c>
      <c r="C187" s="2">
        <f t="shared" si="67"/>
        <v>5</v>
      </c>
      <c r="D187" s="2">
        <f t="shared" si="63"/>
        <v>14</v>
      </c>
      <c r="E187" s="2" t="s">
        <v>58</v>
      </c>
      <c r="F187" s="2">
        <f t="shared" si="68"/>
        <v>4</v>
      </c>
      <c r="G187" s="2">
        <f t="shared" si="68"/>
        <v>6</v>
      </c>
      <c r="I187" s="2">
        <f t="shared" si="69"/>
        <v>8</v>
      </c>
      <c r="J187" s="2">
        <f t="shared" si="69"/>
        <v>4</v>
      </c>
      <c r="K187" s="2">
        <f t="shared" si="69"/>
        <v>3</v>
      </c>
      <c r="L187" s="2">
        <f t="shared" si="70"/>
        <v>11</v>
      </c>
    </row>
    <row r="188" spans="1:12" ht="15" customHeight="1" x14ac:dyDescent="0.3">
      <c r="A188" s="2">
        <f t="shared" si="67"/>
        <v>5</v>
      </c>
      <c r="B188" s="2">
        <f t="shared" si="67"/>
        <v>7</v>
      </c>
      <c r="C188" s="2">
        <f t="shared" si="67"/>
        <v>2</v>
      </c>
      <c r="D188" s="2">
        <f t="shared" si="63"/>
        <v>14</v>
      </c>
      <c r="E188" s="2" t="s">
        <v>57</v>
      </c>
      <c r="F188" s="2">
        <f t="shared" si="68"/>
        <v>2</v>
      </c>
      <c r="G188" s="2">
        <f t="shared" si="68"/>
        <v>4</v>
      </c>
      <c r="I188" s="2">
        <f t="shared" si="69"/>
        <v>10</v>
      </c>
      <c r="J188" s="2">
        <f t="shared" si="69"/>
        <v>5</v>
      </c>
      <c r="K188" s="2">
        <f t="shared" si="69"/>
        <v>4</v>
      </c>
      <c r="L188" s="2">
        <f t="shared" si="70"/>
        <v>11</v>
      </c>
    </row>
    <row r="189" spans="1:12" ht="15" customHeight="1" x14ac:dyDescent="0.3">
      <c r="A189" s="2">
        <f t="shared" si="67"/>
        <v>7</v>
      </c>
      <c r="B189" s="2">
        <f t="shared" si="67"/>
        <v>4</v>
      </c>
      <c r="C189" s="2">
        <f t="shared" si="67"/>
        <v>3</v>
      </c>
      <c r="D189" s="2">
        <f t="shared" si="63"/>
        <v>14</v>
      </c>
      <c r="E189" s="2" t="s">
        <v>88</v>
      </c>
      <c r="F189" s="2">
        <f t="shared" si="68"/>
        <v>5</v>
      </c>
      <c r="G189" s="2">
        <f t="shared" si="68"/>
        <v>10</v>
      </c>
      <c r="I189" s="2">
        <f t="shared" si="69"/>
        <v>4</v>
      </c>
      <c r="J189" s="2">
        <f t="shared" si="69"/>
        <v>5</v>
      </c>
      <c r="K189" s="2">
        <f t="shared" si="69"/>
        <v>2</v>
      </c>
      <c r="L189" s="2">
        <f t="shared" si="70"/>
        <v>12</v>
      </c>
    </row>
    <row r="190" spans="1:12" ht="15" customHeight="1" x14ac:dyDescent="0.3">
      <c r="A190" s="2">
        <f t="shared" si="67"/>
        <v>3</v>
      </c>
      <c r="B190" s="2">
        <f t="shared" si="67"/>
        <v>7</v>
      </c>
      <c r="C190" s="2">
        <f t="shared" si="67"/>
        <v>4</v>
      </c>
      <c r="D190" s="2">
        <f t="shared" si="63"/>
        <v>14</v>
      </c>
      <c r="E190" s="2" t="s">
        <v>91</v>
      </c>
      <c r="F190" s="2">
        <f t="shared" si="68"/>
        <v>1</v>
      </c>
      <c r="G190" s="2">
        <f t="shared" si="68"/>
        <v>4</v>
      </c>
      <c r="I190" s="2">
        <f t="shared" si="69"/>
        <v>10</v>
      </c>
      <c r="J190" s="2">
        <f t="shared" si="69"/>
        <v>6</v>
      </c>
      <c r="K190" s="2">
        <f t="shared" si="69"/>
        <v>6</v>
      </c>
      <c r="L190" s="2">
        <f t="shared" si="70"/>
        <v>13</v>
      </c>
    </row>
  </sheetData>
  <phoneticPr fontId="2" type="noConversion"/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9723-5BBC-4365-A05E-E6DAB1CC7249}">
  <dimension ref="A1:L108"/>
  <sheetViews>
    <sheetView topLeftCell="A96" workbookViewId="0">
      <selection activeCell="A103" sqref="A103:A108"/>
    </sheetView>
  </sheetViews>
  <sheetFormatPr defaultRowHeight="16.2" customHeight="1" x14ac:dyDescent="0.3"/>
  <cols>
    <col min="1" max="1" width="12.33203125" customWidth="1"/>
    <col min="2" max="2" width="10.5546875" bestFit="1" customWidth="1"/>
    <col min="3" max="3" width="8.88671875" style="29"/>
    <col min="5" max="5" width="15.6640625" customWidth="1"/>
    <col min="6" max="6" width="15.44140625" customWidth="1"/>
    <col min="8" max="10" width="15.5546875" customWidth="1"/>
  </cols>
  <sheetData>
    <row r="1" spans="1:10" ht="16.2" customHeight="1" x14ac:dyDescent="0.3">
      <c r="A1" s="15" t="s">
        <v>60</v>
      </c>
      <c r="B1" s="15" t="s">
        <v>0</v>
      </c>
      <c r="C1" s="25" t="s">
        <v>1</v>
      </c>
      <c r="D1" s="15" t="s">
        <v>2</v>
      </c>
      <c r="E1" s="15" t="s">
        <v>3</v>
      </c>
      <c r="F1" s="15" t="s">
        <v>4</v>
      </c>
      <c r="G1" s="15"/>
      <c r="H1" s="15" t="s">
        <v>5</v>
      </c>
      <c r="I1" s="15" t="s">
        <v>6</v>
      </c>
      <c r="J1" s="15" t="s">
        <v>7</v>
      </c>
    </row>
    <row r="2" spans="1:10" ht="16.2" customHeight="1" x14ac:dyDescent="0.3">
      <c r="A2" s="16" t="s">
        <v>8</v>
      </c>
      <c r="B2" s="38">
        <v>46072</v>
      </c>
      <c r="C2" s="26" t="s">
        <v>9</v>
      </c>
      <c r="D2" s="16">
        <v>1</v>
      </c>
      <c r="E2" s="16" t="str">
        <f>F2</f>
        <v>Easties</v>
      </c>
      <c r="F2" s="41" t="s">
        <v>70</v>
      </c>
      <c r="G2" s="41" t="s">
        <v>12</v>
      </c>
      <c r="H2" s="41" t="s">
        <v>74</v>
      </c>
      <c r="I2" s="16" t="str">
        <f>F3</f>
        <v>Fitzroy Rebels</v>
      </c>
      <c r="J2" s="16"/>
    </row>
    <row r="3" spans="1:10" ht="16.2" customHeight="1" x14ac:dyDescent="0.3">
      <c r="A3" s="16" t="str">
        <f>A2</f>
        <v>Round 1</v>
      </c>
      <c r="B3" s="38">
        <f>B2</f>
        <v>46072</v>
      </c>
      <c r="C3" s="26" t="s">
        <v>14</v>
      </c>
      <c r="D3" s="16">
        <v>1</v>
      </c>
      <c r="E3" s="16"/>
      <c r="F3" s="41" t="s">
        <v>71</v>
      </c>
      <c r="G3" s="41" t="s">
        <v>12</v>
      </c>
      <c r="H3" s="41" t="s">
        <v>75</v>
      </c>
      <c r="I3" s="16" t="str">
        <f>H2</f>
        <v>On the Ball</v>
      </c>
      <c r="J3" s="16" t="str">
        <f>H3</f>
        <v>Rhythm &amp; Spikes</v>
      </c>
    </row>
    <row r="4" spans="1:10" ht="16.2" customHeight="1" x14ac:dyDescent="0.3">
      <c r="A4" s="16" t="str">
        <f t="shared" ref="A4:B39" si="0">A3</f>
        <v>Round 1</v>
      </c>
      <c r="B4" s="38">
        <f t="shared" si="0"/>
        <v>46072</v>
      </c>
      <c r="C4" s="26" t="s">
        <v>9</v>
      </c>
      <c r="D4" s="16">
        <v>2</v>
      </c>
      <c r="E4" s="16" t="str">
        <f>F4</f>
        <v>Mixed Bag</v>
      </c>
      <c r="F4" s="41" t="s">
        <v>73</v>
      </c>
      <c r="G4" s="41" t="s">
        <v>12</v>
      </c>
      <c r="H4" s="41" t="s">
        <v>76</v>
      </c>
      <c r="I4" s="16" t="str">
        <f>F5</f>
        <v>Sparkles</v>
      </c>
      <c r="J4" s="16"/>
    </row>
    <row r="5" spans="1:10" ht="16.2" customHeight="1" x14ac:dyDescent="0.3">
      <c r="A5" s="16" t="str">
        <f>A4</f>
        <v>Round 1</v>
      </c>
      <c r="B5" s="38">
        <f>B4</f>
        <v>46072</v>
      </c>
      <c r="C5" s="26" t="s">
        <v>14</v>
      </c>
      <c r="D5" s="16">
        <v>2</v>
      </c>
      <c r="E5" s="16"/>
      <c r="F5" s="41" t="s">
        <v>77</v>
      </c>
      <c r="G5" s="41" t="s">
        <v>12</v>
      </c>
      <c r="H5" s="41" t="s">
        <v>72</v>
      </c>
      <c r="I5" s="16" t="str">
        <f>H4</f>
        <v>The Village</v>
      </c>
      <c r="J5" s="16" t="str">
        <f>H5</f>
        <v>Kiss My Ace</v>
      </c>
    </row>
    <row r="6" spans="1:10" ht="16.2" customHeight="1" x14ac:dyDescent="0.3">
      <c r="A6" s="20"/>
      <c r="B6" s="21"/>
      <c r="C6" s="28"/>
      <c r="D6" s="20"/>
      <c r="E6" s="20"/>
      <c r="F6" s="30"/>
      <c r="G6" s="30"/>
      <c r="H6" s="30"/>
      <c r="I6" s="20"/>
      <c r="J6" s="20"/>
    </row>
    <row r="7" spans="1:10" ht="16.2" customHeight="1" x14ac:dyDescent="0.3">
      <c r="A7" s="16" t="s">
        <v>24</v>
      </c>
      <c r="B7" s="38">
        <f>B2+7</f>
        <v>46079</v>
      </c>
      <c r="C7" s="26" t="s">
        <v>9</v>
      </c>
      <c r="D7" s="16">
        <v>1</v>
      </c>
      <c r="E7" s="16" t="str">
        <f>F7</f>
        <v>On the Ball</v>
      </c>
      <c r="F7" s="41" t="s">
        <v>74</v>
      </c>
      <c r="G7" s="41" t="s">
        <v>12</v>
      </c>
      <c r="H7" s="41" t="s">
        <v>76</v>
      </c>
      <c r="I7" s="16" t="str">
        <f>F8</f>
        <v>Mixed Bag</v>
      </c>
      <c r="J7" s="16"/>
    </row>
    <row r="8" spans="1:10" ht="16.2" customHeight="1" x14ac:dyDescent="0.3">
      <c r="A8" s="16" t="str">
        <f t="shared" si="0"/>
        <v>Round 2</v>
      </c>
      <c r="B8" s="38">
        <f>B7</f>
        <v>46079</v>
      </c>
      <c r="C8" s="26" t="s">
        <v>14</v>
      </c>
      <c r="D8" s="16">
        <v>1</v>
      </c>
      <c r="E8" s="16"/>
      <c r="F8" s="41" t="s">
        <v>73</v>
      </c>
      <c r="G8" s="41" t="s">
        <v>12</v>
      </c>
      <c r="H8" s="41" t="s">
        <v>71</v>
      </c>
      <c r="I8" s="16" t="str">
        <f>H7</f>
        <v>The Village</v>
      </c>
      <c r="J8" s="16" t="str">
        <f>H8</f>
        <v>Fitzroy Rebels</v>
      </c>
    </row>
    <row r="9" spans="1:10" ht="16.2" customHeight="1" x14ac:dyDescent="0.3">
      <c r="A9" s="16" t="str">
        <f t="shared" si="0"/>
        <v>Round 2</v>
      </c>
      <c r="B9" s="38">
        <f t="shared" si="0"/>
        <v>46079</v>
      </c>
      <c r="C9" s="26" t="s">
        <v>9</v>
      </c>
      <c r="D9" s="16">
        <v>2</v>
      </c>
      <c r="E9" s="16" t="str">
        <f>F9</f>
        <v>Kiss My Ace</v>
      </c>
      <c r="F9" s="41" t="s">
        <v>72</v>
      </c>
      <c r="G9" s="41" t="s">
        <v>12</v>
      </c>
      <c r="H9" s="41" t="s">
        <v>75</v>
      </c>
      <c r="I9" s="16" t="str">
        <f>F10</f>
        <v>Easties</v>
      </c>
      <c r="J9" s="16"/>
    </row>
    <row r="10" spans="1:10" ht="16.2" customHeight="1" x14ac:dyDescent="0.3">
      <c r="A10" s="16" t="str">
        <f t="shared" si="0"/>
        <v>Round 2</v>
      </c>
      <c r="B10" s="38">
        <f t="shared" si="0"/>
        <v>46079</v>
      </c>
      <c r="C10" s="26" t="s">
        <v>14</v>
      </c>
      <c r="D10" s="16">
        <v>2</v>
      </c>
      <c r="E10" s="16"/>
      <c r="F10" s="41" t="s">
        <v>70</v>
      </c>
      <c r="G10" s="41" t="s">
        <v>12</v>
      </c>
      <c r="H10" s="41" t="s">
        <v>77</v>
      </c>
      <c r="I10" s="16" t="str">
        <f>H9</f>
        <v>Rhythm &amp; Spikes</v>
      </c>
      <c r="J10" s="16" t="str">
        <f>H10</f>
        <v>Sparkles</v>
      </c>
    </row>
    <row r="11" spans="1:10" ht="16.2" customHeight="1" x14ac:dyDescent="0.3">
      <c r="A11" s="20"/>
      <c r="B11" s="21"/>
      <c r="C11" s="28"/>
      <c r="D11" s="20"/>
      <c r="E11" s="20"/>
      <c r="F11" s="30"/>
      <c r="G11" s="30"/>
      <c r="H11" s="30"/>
      <c r="I11" s="20"/>
      <c r="J11" s="20"/>
    </row>
    <row r="12" spans="1:10" ht="16.2" customHeight="1" x14ac:dyDescent="0.3">
      <c r="A12" s="16" t="s">
        <v>25</v>
      </c>
      <c r="B12" s="38">
        <f>B7+7</f>
        <v>46086</v>
      </c>
      <c r="C12" s="26" t="s">
        <v>9</v>
      </c>
      <c r="D12" s="16">
        <v>1</v>
      </c>
      <c r="E12" s="16" t="str">
        <f>F12</f>
        <v>Rhythm &amp; Spikes</v>
      </c>
      <c r="F12" s="41" t="s">
        <v>75</v>
      </c>
      <c r="G12" s="41" t="s">
        <v>12</v>
      </c>
      <c r="H12" s="41" t="s">
        <v>70</v>
      </c>
      <c r="I12" s="16" t="str">
        <f>F13</f>
        <v>Fitzroy Rebels</v>
      </c>
      <c r="J12" s="16"/>
    </row>
    <row r="13" spans="1:10" ht="16.2" customHeight="1" x14ac:dyDescent="0.3">
      <c r="A13" s="16" t="str">
        <f t="shared" si="0"/>
        <v>Round 3</v>
      </c>
      <c r="B13" s="38">
        <f>B12</f>
        <v>46086</v>
      </c>
      <c r="C13" s="26" t="s">
        <v>14</v>
      </c>
      <c r="D13" s="16">
        <v>1</v>
      </c>
      <c r="E13" s="16"/>
      <c r="F13" s="41" t="s">
        <v>71</v>
      </c>
      <c r="G13" s="41" t="s">
        <v>12</v>
      </c>
      <c r="H13" s="41" t="s">
        <v>72</v>
      </c>
      <c r="I13" s="16" t="str">
        <f>H12</f>
        <v>Easties</v>
      </c>
      <c r="J13" s="16" t="str">
        <f>H13</f>
        <v>Kiss My Ace</v>
      </c>
    </row>
    <row r="14" spans="1:10" ht="16.2" customHeight="1" x14ac:dyDescent="0.3">
      <c r="A14" s="16" t="str">
        <f t="shared" si="0"/>
        <v>Round 3</v>
      </c>
      <c r="B14" s="38">
        <f t="shared" si="0"/>
        <v>46086</v>
      </c>
      <c r="C14" s="26" t="s">
        <v>9</v>
      </c>
      <c r="D14" s="16">
        <v>2</v>
      </c>
      <c r="E14" s="16" t="str">
        <f>F14</f>
        <v>Mixed Bag</v>
      </c>
      <c r="F14" s="41" t="s">
        <v>73</v>
      </c>
      <c r="G14" s="41" t="s">
        <v>12</v>
      </c>
      <c r="H14" s="41" t="s">
        <v>74</v>
      </c>
      <c r="I14" s="16" t="str">
        <f>F15</f>
        <v>The Village</v>
      </c>
      <c r="J14" s="16"/>
    </row>
    <row r="15" spans="1:10" ht="16.2" customHeight="1" x14ac:dyDescent="0.3">
      <c r="A15" s="16" t="str">
        <f t="shared" si="0"/>
        <v>Round 3</v>
      </c>
      <c r="B15" s="38">
        <f t="shared" si="0"/>
        <v>46086</v>
      </c>
      <c r="C15" s="26" t="s">
        <v>14</v>
      </c>
      <c r="D15" s="16">
        <v>2</v>
      </c>
      <c r="E15" s="16"/>
      <c r="F15" s="41" t="s">
        <v>76</v>
      </c>
      <c r="G15" s="41" t="s">
        <v>12</v>
      </c>
      <c r="H15" s="41" t="s">
        <v>77</v>
      </c>
      <c r="I15" s="16" t="str">
        <f>H14</f>
        <v>On the Ball</v>
      </c>
      <c r="J15" s="16" t="str">
        <f>H15</f>
        <v>Sparkles</v>
      </c>
    </row>
    <row r="16" spans="1:10" ht="16.2" customHeight="1" x14ac:dyDescent="0.3">
      <c r="A16" s="20"/>
      <c r="B16" s="21"/>
      <c r="C16" s="28"/>
      <c r="D16" s="20"/>
      <c r="E16" s="20"/>
      <c r="F16" s="30"/>
      <c r="G16" s="30"/>
      <c r="H16" s="30"/>
      <c r="I16" s="20"/>
      <c r="J16" s="20"/>
    </row>
    <row r="17" spans="1:10" ht="16.2" customHeight="1" x14ac:dyDescent="0.3">
      <c r="A17" s="16" t="s">
        <v>26</v>
      </c>
      <c r="B17" s="38">
        <f>B12+7</f>
        <v>46093</v>
      </c>
      <c r="C17" s="26" t="s">
        <v>9</v>
      </c>
      <c r="D17" s="16">
        <v>1</v>
      </c>
      <c r="E17" s="16" t="str">
        <f>F17</f>
        <v>The Village</v>
      </c>
      <c r="F17" s="41" t="s">
        <v>76</v>
      </c>
      <c r="G17" s="41" t="s">
        <v>12</v>
      </c>
      <c r="H17" s="41" t="s">
        <v>75</v>
      </c>
      <c r="I17" s="16" t="str">
        <f>F18</f>
        <v>Sparkles</v>
      </c>
      <c r="J17" s="16"/>
    </row>
    <row r="18" spans="1:10" ht="16.2" customHeight="1" x14ac:dyDescent="0.3">
      <c r="A18" s="16" t="str">
        <f t="shared" si="0"/>
        <v>Round 4</v>
      </c>
      <c r="B18" s="38">
        <f>B17</f>
        <v>46093</v>
      </c>
      <c r="C18" s="26" t="s">
        <v>14</v>
      </c>
      <c r="D18" s="16">
        <v>1</v>
      </c>
      <c r="E18" s="16"/>
      <c r="F18" s="41" t="s">
        <v>77</v>
      </c>
      <c r="G18" s="41" t="s">
        <v>12</v>
      </c>
      <c r="H18" s="41" t="s">
        <v>73</v>
      </c>
      <c r="I18" s="16" t="str">
        <f>H17</f>
        <v>Rhythm &amp; Spikes</v>
      </c>
      <c r="J18" s="16" t="str">
        <f>H18</f>
        <v>Mixed Bag</v>
      </c>
    </row>
    <row r="19" spans="1:10" ht="16.2" customHeight="1" x14ac:dyDescent="0.3">
      <c r="A19" s="16" t="str">
        <f t="shared" si="0"/>
        <v>Round 4</v>
      </c>
      <c r="B19" s="38">
        <f t="shared" si="0"/>
        <v>46093</v>
      </c>
      <c r="C19" s="26" t="s">
        <v>9</v>
      </c>
      <c r="D19" s="16">
        <v>2</v>
      </c>
      <c r="E19" s="16" t="str">
        <f>F19</f>
        <v>On the Ball</v>
      </c>
      <c r="F19" s="41" t="s">
        <v>74</v>
      </c>
      <c r="G19" s="41" t="s">
        <v>12</v>
      </c>
      <c r="H19" s="41" t="s">
        <v>71</v>
      </c>
      <c r="I19" s="16" t="str">
        <f>F20</f>
        <v>Kiss My Ace</v>
      </c>
      <c r="J19" s="16"/>
    </row>
    <row r="20" spans="1:10" ht="16.2" customHeight="1" x14ac:dyDescent="0.3">
      <c r="A20" s="16" t="str">
        <f t="shared" si="0"/>
        <v>Round 4</v>
      </c>
      <c r="B20" s="38">
        <f t="shared" si="0"/>
        <v>46093</v>
      </c>
      <c r="C20" s="26" t="s">
        <v>14</v>
      </c>
      <c r="D20" s="16">
        <v>2</v>
      </c>
      <c r="E20" s="16"/>
      <c r="F20" s="41" t="s">
        <v>72</v>
      </c>
      <c r="G20" s="41" t="s">
        <v>12</v>
      </c>
      <c r="H20" s="41" t="s">
        <v>70</v>
      </c>
      <c r="I20" s="16" t="str">
        <f>H19</f>
        <v>Fitzroy Rebels</v>
      </c>
      <c r="J20" s="16" t="str">
        <f>H20</f>
        <v>Easties</v>
      </c>
    </row>
    <row r="21" spans="1:10" ht="16.2" customHeight="1" x14ac:dyDescent="0.3">
      <c r="A21" s="20"/>
      <c r="B21" s="21"/>
      <c r="C21" s="28"/>
      <c r="D21" s="20"/>
      <c r="E21" s="20"/>
      <c r="F21" s="30"/>
      <c r="G21" s="30"/>
      <c r="H21" s="30"/>
      <c r="I21" s="20"/>
      <c r="J21" s="20"/>
    </row>
    <row r="22" spans="1:10" ht="16.2" customHeight="1" x14ac:dyDescent="0.3">
      <c r="A22" s="16" t="s">
        <v>27</v>
      </c>
      <c r="B22" s="38">
        <f>B17+7</f>
        <v>46100</v>
      </c>
      <c r="C22" s="26" t="s">
        <v>9</v>
      </c>
      <c r="D22" s="16">
        <v>1</v>
      </c>
      <c r="E22" s="16" t="str">
        <f>F22</f>
        <v>Sparkles</v>
      </c>
      <c r="F22" s="41" t="s">
        <v>77</v>
      </c>
      <c r="G22" s="41" t="s">
        <v>12</v>
      </c>
      <c r="H22" s="41" t="s">
        <v>74</v>
      </c>
      <c r="I22" s="16" t="str">
        <f>F23</f>
        <v>Fitzroy Rebels</v>
      </c>
      <c r="J22" s="16"/>
    </row>
    <row r="23" spans="1:10" ht="16.2" customHeight="1" x14ac:dyDescent="0.3">
      <c r="A23" s="16" t="str">
        <f t="shared" si="0"/>
        <v>Round 5</v>
      </c>
      <c r="B23" s="38">
        <f>B22</f>
        <v>46100</v>
      </c>
      <c r="C23" s="26" t="s">
        <v>14</v>
      </c>
      <c r="D23" s="16">
        <v>1</v>
      </c>
      <c r="E23" s="16"/>
      <c r="F23" s="41" t="s">
        <v>71</v>
      </c>
      <c r="G23" s="41" t="s">
        <v>12</v>
      </c>
      <c r="H23" s="41" t="s">
        <v>70</v>
      </c>
      <c r="I23" s="16" t="str">
        <f>H22</f>
        <v>On the Ball</v>
      </c>
      <c r="J23" s="16" t="str">
        <f>H23</f>
        <v>Easties</v>
      </c>
    </row>
    <row r="24" spans="1:10" ht="16.2" customHeight="1" x14ac:dyDescent="0.3">
      <c r="A24" s="16" t="str">
        <f t="shared" si="0"/>
        <v>Round 5</v>
      </c>
      <c r="B24" s="38">
        <f t="shared" si="0"/>
        <v>46100</v>
      </c>
      <c r="C24" s="26" t="s">
        <v>9</v>
      </c>
      <c r="D24" s="16">
        <v>2</v>
      </c>
      <c r="E24" s="16" t="str">
        <f>F24</f>
        <v>Mixed Bag</v>
      </c>
      <c r="F24" s="41" t="s">
        <v>73</v>
      </c>
      <c r="G24" s="41" t="s">
        <v>12</v>
      </c>
      <c r="H24" s="41" t="s">
        <v>75</v>
      </c>
      <c r="I24" s="16" t="str">
        <f>F25</f>
        <v>Kiss My Ace</v>
      </c>
      <c r="J24" s="16"/>
    </row>
    <row r="25" spans="1:10" ht="16.2" customHeight="1" x14ac:dyDescent="0.3">
      <c r="A25" s="16" t="str">
        <f t="shared" si="0"/>
        <v>Round 5</v>
      </c>
      <c r="B25" s="38">
        <f t="shared" si="0"/>
        <v>46100</v>
      </c>
      <c r="C25" s="26" t="s">
        <v>14</v>
      </c>
      <c r="D25" s="16">
        <v>2</v>
      </c>
      <c r="E25" s="16"/>
      <c r="F25" s="41" t="s">
        <v>72</v>
      </c>
      <c r="G25" s="41" t="s">
        <v>12</v>
      </c>
      <c r="H25" s="41" t="s">
        <v>76</v>
      </c>
      <c r="I25" s="16" t="str">
        <f>H24</f>
        <v>Rhythm &amp; Spikes</v>
      </c>
      <c r="J25" s="16" t="str">
        <f>H25</f>
        <v>The Village</v>
      </c>
    </row>
    <row r="26" spans="1:10" ht="16.2" customHeight="1" x14ac:dyDescent="0.3">
      <c r="A26" s="20"/>
      <c r="B26" s="21"/>
      <c r="C26" s="28"/>
      <c r="D26" s="20"/>
      <c r="E26" s="20"/>
      <c r="F26" s="30"/>
      <c r="G26" s="30"/>
      <c r="H26" s="30"/>
      <c r="I26" s="20"/>
      <c r="J26" s="20"/>
    </row>
    <row r="27" spans="1:10" ht="16.2" customHeight="1" x14ac:dyDescent="0.3">
      <c r="A27" s="16" t="s">
        <v>28</v>
      </c>
      <c r="B27" s="38">
        <f>B22+7</f>
        <v>46107</v>
      </c>
      <c r="C27" s="26" t="s">
        <v>9</v>
      </c>
      <c r="D27" s="16">
        <v>1</v>
      </c>
      <c r="E27" s="16" t="str">
        <f>F27</f>
        <v>Sparkles</v>
      </c>
      <c r="F27" s="41" t="s">
        <v>77</v>
      </c>
      <c r="G27" s="41" t="s">
        <v>12</v>
      </c>
      <c r="H27" s="41" t="s">
        <v>71</v>
      </c>
      <c r="I27" s="16" t="str">
        <f>F28</f>
        <v>Rhythm &amp; Spikes</v>
      </c>
      <c r="J27" s="16"/>
    </row>
    <row r="28" spans="1:10" ht="16.2" customHeight="1" x14ac:dyDescent="0.3">
      <c r="A28" s="16" t="str">
        <f t="shared" si="0"/>
        <v>Round 6</v>
      </c>
      <c r="B28" s="38">
        <f>B27</f>
        <v>46107</v>
      </c>
      <c r="C28" s="26" t="s">
        <v>14</v>
      </c>
      <c r="D28" s="16">
        <v>1</v>
      </c>
      <c r="E28" s="16"/>
      <c r="F28" s="41" t="s">
        <v>75</v>
      </c>
      <c r="G28" s="41" t="s">
        <v>12</v>
      </c>
      <c r="H28" s="41" t="s">
        <v>74</v>
      </c>
      <c r="I28" s="16" t="str">
        <f>H27</f>
        <v>Fitzroy Rebels</v>
      </c>
      <c r="J28" s="16" t="str">
        <f>H28</f>
        <v>On the Ball</v>
      </c>
    </row>
    <row r="29" spans="1:10" ht="16.2" customHeight="1" x14ac:dyDescent="0.3">
      <c r="A29" s="16" t="str">
        <f t="shared" si="0"/>
        <v>Round 6</v>
      </c>
      <c r="B29" s="38">
        <f t="shared" si="0"/>
        <v>46107</v>
      </c>
      <c r="C29" s="26" t="s">
        <v>9</v>
      </c>
      <c r="D29" s="16">
        <v>2</v>
      </c>
      <c r="E29" s="16" t="str">
        <f>F29</f>
        <v>Mixed Bag</v>
      </c>
      <c r="F29" s="41" t="s">
        <v>73</v>
      </c>
      <c r="G29" s="41" t="s">
        <v>12</v>
      </c>
      <c r="H29" s="41" t="s">
        <v>72</v>
      </c>
      <c r="I29" s="16" t="str">
        <f>F30</f>
        <v>Easties</v>
      </c>
      <c r="J29" s="16"/>
    </row>
    <row r="30" spans="1:10" ht="16.2" customHeight="1" x14ac:dyDescent="0.3">
      <c r="A30" s="16" t="str">
        <f t="shared" si="0"/>
        <v>Round 6</v>
      </c>
      <c r="B30" s="38">
        <f t="shared" si="0"/>
        <v>46107</v>
      </c>
      <c r="C30" s="26" t="s">
        <v>14</v>
      </c>
      <c r="D30" s="16">
        <v>2</v>
      </c>
      <c r="E30" s="16"/>
      <c r="F30" s="41" t="s">
        <v>70</v>
      </c>
      <c r="G30" s="41" t="s">
        <v>12</v>
      </c>
      <c r="H30" s="41" t="s">
        <v>76</v>
      </c>
      <c r="I30" s="16" t="str">
        <f>H29</f>
        <v>Kiss My Ace</v>
      </c>
      <c r="J30" s="16" t="str">
        <f>H30</f>
        <v>The Village</v>
      </c>
    </row>
    <row r="31" spans="1:10" ht="16.2" customHeight="1" x14ac:dyDescent="0.3">
      <c r="A31" s="20"/>
      <c r="B31" s="21"/>
      <c r="C31" s="28"/>
      <c r="D31" s="20"/>
      <c r="E31" s="20"/>
      <c r="F31" s="30"/>
      <c r="G31" s="30"/>
      <c r="H31" s="30"/>
      <c r="I31" s="20"/>
      <c r="J31" s="20"/>
    </row>
    <row r="32" spans="1:10" ht="16.2" customHeight="1" x14ac:dyDescent="0.3">
      <c r="A32" s="15" t="s">
        <v>60</v>
      </c>
      <c r="B32" s="15" t="s">
        <v>0</v>
      </c>
      <c r="C32" s="25" t="s">
        <v>1</v>
      </c>
      <c r="D32" s="15" t="s">
        <v>2</v>
      </c>
      <c r="E32" s="15" t="s">
        <v>3</v>
      </c>
      <c r="F32" s="15" t="s">
        <v>4</v>
      </c>
      <c r="G32" s="15"/>
      <c r="H32" s="15" t="s">
        <v>5</v>
      </c>
      <c r="I32" s="15" t="s">
        <v>6</v>
      </c>
      <c r="J32" s="15" t="s">
        <v>7</v>
      </c>
    </row>
    <row r="33" spans="1:10" ht="16.2" customHeight="1" x14ac:dyDescent="0.3">
      <c r="A33" s="16" t="s">
        <v>29</v>
      </c>
      <c r="B33" s="38">
        <f>B27+7</f>
        <v>46114</v>
      </c>
      <c r="C33" s="26" t="s">
        <v>9</v>
      </c>
      <c r="D33" s="16">
        <v>1</v>
      </c>
      <c r="E33" s="16" t="str">
        <f>F33</f>
        <v>On the Ball</v>
      </c>
      <c r="F33" s="41" t="s">
        <v>74</v>
      </c>
      <c r="G33" s="41" t="s">
        <v>12</v>
      </c>
      <c r="H33" s="41" t="s">
        <v>72</v>
      </c>
      <c r="I33" s="16" t="str">
        <f>F34</f>
        <v>Sparkles</v>
      </c>
      <c r="J33" s="16"/>
    </row>
    <row r="34" spans="1:10" ht="16.2" customHeight="1" x14ac:dyDescent="0.3">
      <c r="A34" s="16" t="str">
        <f t="shared" si="0"/>
        <v>Round 7</v>
      </c>
      <c r="B34" s="38">
        <f>B33</f>
        <v>46114</v>
      </c>
      <c r="C34" s="26" t="s">
        <v>14</v>
      </c>
      <c r="D34" s="16">
        <v>1</v>
      </c>
      <c r="E34" s="16"/>
      <c r="F34" s="41" t="s">
        <v>77</v>
      </c>
      <c r="G34" s="41" t="s">
        <v>12</v>
      </c>
      <c r="H34" s="41" t="s">
        <v>73</v>
      </c>
      <c r="I34" s="16" t="str">
        <f>H33</f>
        <v>Kiss My Ace</v>
      </c>
      <c r="J34" s="16" t="str">
        <f>H34</f>
        <v>Mixed Bag</v>
      </c>
    </row>
    <row r="35" spans="1:10" ht="16.2" customHeight="1" x14ac:dyDescent="0.3">
      <c r="A35" s="16" t="str">
        <f t="shared" si="0"/>
        <v>Round 7</v>
      </c>
      <c r="B35" s="38">
        <f t="shared" si="0"/>
        <v>46114</v>
      </c>
      <c r="C35" s="26" t="s">
        <v>9</v>
      </c>
      <c r="D35" s="16">
        <v>2</v>
      </c>
      <c r="E35" s="16" t="str">
        <f>F35</f>
        <v>Fitzroy Rebels</v>
      </c>
      <c r="F35" s="41" t="s">
        <v>71</v>
      </c>
      <c r="G35" s="41" t="s">
        <v>12</v>
      </c>
      <c r="H35" s="41" t="s">
        <v>76</v>
      </c>
      <c r="I35" s="16" t="str">
        <f>F36</f>
        <v>Easties</v>
      </c>
      <c r="J35" s="16"/>
    </row>
    <row r="36" spans="1:10" ht="16.2" customHeight="1" x14ac:dyDescent="0.3">
      <c r="A36" s="16" t="str">
        <f t="shared" si="0"/>
        <v>Round 7</v>
      </c>
      <c r="B36" s="38">
        <f t="shared" si="0"/>
        <v>46114</v>
      </c>
      <c r="C36" s="26" t="s">
        <v>14</v>
      </c>
      <c r="D36" s="16">
        <v>2</v>
      </c>
      <c r="E36" s="16"/>
      <c r="F36" s="41" t="s">
        <v>70</v>
      </c>
      <c r="G36" s="41" t="s">
        <v>12</v>
      </c>
      <c r="H36" s="41" t="s">
        <v>75</v>
      </c>
      <c r="I36" s="16" t="str">
        <f>H35</f>
        <v>The Village</v>
      </c>
      <c r="J36" s="16" t="str">
        <f>H36</f>
        <v>Rhythm &amp; Spikes</v>
      </c>
    </row>
    <row r="37" spans="1:10" ht="16.2" customHeight="1" x14ac:dyDescent="0.3">
      <c r="A37" s="20"/>
      <c r="B37" s="21"/>
      <c r="C37" s="28"/>
      <c r="D37" s="20"/>
      <c r="E37" s="20"/>
      <c r="F37" s="30"/>
      <c r="G37" s="30"/>
      <c r="H37" s="30"/>
      <c r="I37" s="20"/>
      <c r="J37" s="20"/>
    </row>
    <row r="38" spans="1:10" ht="16.2" customHeight="1" x14ac:dyDescent="0.3">
      <c r="A38" s="22" t="s">
        <v>61</v>
      </c>
      <c r="B38" s="9">
        <f>B33+7</f>
        <v>46121</v>
      </c>
      <c r="C38" s="27"/>
      <c r="D38" s="22"/>
      <c r="E38" s="22"/>
      <c r="F38" s="22"/>
      <c r="G38" s="22"/>
      <c r="H38" s="22"/>
      <c r="I38" s="22"/>
      <c r="J38" s="22"/>
    </row>
    <row r="39" spans="1:10" ht="16.2" customHeight="1" x14ac:dyDescent="0.3">
      <c r="A39" s="22" t="str">
        <f t="shared" si="0"/>
        <v>Holidays</v>
      </c>
      <c r="B39" s="9">
        <f>B38+7</f>
        <v>46128</v>
      </c>
      <c r="C39" s="27"/>
      <c r="D39" s="22"/>
      <c r="E39" s="22"/>
      <c r="F39" s="22"/>
      <c r="G39" s="22"/>
      <c r="H39" s="22"/>
      <c r="I39" s="22"/>
      <c r="J39" s="22"/>
    </row>
    <row r="40" spans="1:10" ht="16.2" customHeight="1" x14ac:dyDescent="0.3">
      <c r="A40" s="20"/>
      <c r="B40" s="21"/>
      <c r="C40" s="28"/>
      <c r="D40" s="20"/>
      <c r="E40" s="20"/>
      <c r="F40" s="30"/>
      <c r="G40" s="30"/>
      <c r="H40" s="30"/>
      <c r="I40" s="20"/>
      <c r="J40" s="20"/>
    </row>
    <row r="41" spans="1:10" ht="16.2" customHeight="1" x14ac:dyDescent="0.3">
      <c r="A41" s="16" t="s">
        <v>34</v>
      </c>
      <c r="B41" s="38">
        <f>B39+7</f>
        <v>46135</v>
      </c>
      <c r="C41" s="26" t="s">
        <v>9</v>
      </c>
      <c r="D41" s="16">
        <v>1</v>
      </c>
      <c r="E41" s="16" t="str">
        <f>F41</f>
        <v>Mixed Bag</v>
      </c>
      <c r="F41" s="41" t="s">
        <v>73</v>
      </c>
      <c r="G41" s="41" t="s">
        <v>12</v>
      </c>
      <c r="H41" s="41" t="s">
        <v>76</v>
      </c>
      <c r="I41" s="16" t="str">
        <f>F42</f>
        <v>Fitzroy Rebels</v>
      </c>
      <c r="J41" s="16"/>
    </row>
    <row r="42" spans="1:10" ht="16.2" customHeight="1" x14ac:dyDescent="0.3">
      <c r="A42" s="16" t="str">
        <f t="shared" ref="A42:B77" si="1">A41</f>
        <v>Round 8</v>
      </c>
      <c r="B42" s="38">
        <f>B41</f>
        <v>46135</v>
      </c>
      <c r="C42" s="26" t="s">
        <v>14</v>
      </c>
      <c r="D42" s="16">
        <v>1</v>
      </c>
      <c r="E42" s="16"/>
      <c r="F42" s="41" t="s">
        <v>71</v>
      </c>
      <c r="G42" s="41" t="s">
        <v>12</v>
      </c>
      <c r="H42" s="41" t="s">
        <v>75</v>
      </c>
      <c r="I42" s="16" t="str">
        <f>H41</f>
        <v>The Village</v>
      </c>
      <c r="J42" s="16" t="str">
        <f>H42</f>
        <v>Rhythm &amp; Spikes</v>
      </c>
    </row>
    <row r="43" spans="1:10" ht="16.2" customHeight="1" x14ac:dyDescent="0.3">
      <c r="A43" s="16" t="str">
        <f t="shared" si="1"/>
        <v>Round 8</v>
      </c>
      <c r="B43" s="38">
        <f t="shared" si="1"/>
        <v>46135</v>
      </c>
      <c r="C43" s="26" t="s">
        <v>9</v>
      </c>
      <c r="D43" s="16">
        <v>2</v>
      </c>
      <c r="E43" s="16" t="str">
        <f>F43</f>
        <v>Easties</v>
      </c>
      <c r="F43" s="41" t="s">
        <v>70</v>
      </c>
      <c r="G43" s="41" t="s">
        <v>12</v>
      </c>
      <c r="H43" s="41" t="s">
        <v>74</v>
      </c>
      <c r="I43" s="16" t="str">
        <f>F44</f>
        <v>Sparkles</v>
      </c>
      <c r="J43" s="16"/>
    </row>
    <row r="44" spans="1:10" ht="16.2" customHeight="1" x14ac:dyDescent="0.3">
      <c r="A44" s="16" t="str">
        <f t="shared" si="1"/>
        <v>Round 8</v>
      </c>
      <c r="B44" s="38">
        <f t="shared" si="1"/>
        <v>46135</v>
      </c>
      <c r="C44" s="26" t="s">
        <v>14</v>
      </c>
      <c r="D44" s="16">
        <v>2</v>
      </c>
      <c r="E44" s="16"/>
      <c r="F44" s="41" t="s">
        <v>77</v>
      </c>
      <c r="G44" s="41" t="s">
        <v>12</v>
      </c>
      <c r="H44" s="41" t="s">
        <v>72</v>
      </c>
      <c r="I44" s="16" t="str">
        <f>H43</f>
        <v>On the Ball</v>
      </c>
      <c r="J44" s="16" t="str">
        <f>H44</f>
        <v>Kiss My Ace</v>
      </c>
    </row>
    <row r="45" spans="1:10" ht="16.2" customHeight="1" x14ac:dyDescent="0.3">
      <c r="A45" s="20"/>
      <c r="B45" s="21"/>
      <c r="C45" s="28"/>
      <c r="D45" s="20"/>
      <c r="E45" s="20"/>
      <c r="F45" s="30"/>
      <c r="G45" s="30"/>
      <c r="H45" s="30"/>
      <c r="I45" s="20"/>
      <c r="J45" s="20"/>
    </row>
    <row r="46" spans="1:10" ht="16.2" customHeight="1" x14ac:dyDescent="0.3">
      <c r="A46" s="16" t="s">
        <v>35</v>
      </c>
      <c r="B46" s="38">
        <f>B41+7</f>
        <v>46142</v>
      </c>
      <c r="C46" s="26" t="s">
        <v>9</v>
      </c>
      <c r="D46" s="16">
        <v>1</v>
      </c>
      <c r="E46" s="16" t="str">
        <f>F46</f>
        <v>Easties</v>
      </c>
      <c r="F46" s="41" t="s">
        <v>70</v>
      </c>
      <c r="G46" s="41" t="s">
        <v>12</v>
      </c>
      <c r="H46" s="41" t="s">
        <v>77</v>
      </c>
      <c r="I46" s="16" t="str">
        <f>F47</f>
        <v>Kiss My Ace</v>
      </c>
      <c r="J46" s="16"/>
    </row>
    <row r="47" spans="1:10" ht="16.2" customHeight="1" x14ac:dyDescent="0.3">
      <c r="A47" s="16" t="str">
        <f t="shared" si="1"/>
        <v>Round 9</v>
      </c>
      <c r="B47" s="38">
        <f>B46</f>
        <v>46142</v>
      </c>
      <c r="C47" s="26" t="s">
        <v>14</v>
      </c>
      <c r="D47" s="16">
        <v>1</v>
      </c>
      <c r="E47" s="16"/>
      <c r="F47" s="41" t="s">
        <v>72</v>
      </c>
      <c r="G47" s="41" t="s">
        <v>12</v>
      </c>
      <c r="H47" s="41" t="s">
        <v>75</v>
      </c>
      <c r="I47" s="16" t="str">
        <f>H46</f>
        <v>Sparkles</v>
      </c>
      <c r="J47" s="16" t="str">
        <f>H47</f>
        <v>Rhythm &amp; Spikes</v>
      </c>
    </row>
    <row r="48" spans="1:10" ht="16.2" customHeight="1" x14ac:dyDescent="0.3">
      <c r="A48" s="16" t="str">
        <f t="shared" si="1"/>
        <v>Round 9</v>
      </c>
      <c r="B48" s="38">
        <f t="shared" si="1"/>
        <v>46142</v>
      </c>
      <c r="C48" s="26" t="s">
        <v>9</v>
      </c>
      <c r="D48" s="16">
        <v>2</v>
      </c>
      <c r="E48" s="16" t="str">
        <f>F48</f>
        <v>Mixed Bag</v>
      </c>
      <c r="F48" s="41" t="s">
        <v>73</v>
      </c>
      <c r="G48" s="41" t="s">
        <v>12</v>
      </c>
      <c r="H48" s="41" t="s">
        <v>71</v>
      </c>
      <c r="I48" s="16" t="str">
        <f>F49</f>
        <v>On the Ball</v>
      </c>
      <c r="J48" s="16"/>
    </row>
    <row r="49" spans="1:10" ht="16.2" customHeight="1" x14ac:dyDescent="0.3">
      <c r="A49" s="16" t="str">
        <f t="shared" si="1"/>
        <v>Round 9</v>
      </c>
      <c r="B49" s="38">
        <f t="shared" si="1"/>
        <v>46142</v>
      </c>
      <c r="C49" s="26" t="s">
        <v>14</v>
      </c>
      <c r="D49" s="16">
        <v>2</v>
      </c>
      <c r="E49" s="16"/>
      <c r="F49" s="41" t="s">
        <v>74</v>
      </c>
      <c r="G49" s="41" t="s">
        <v>12</v>
      </c>
      <c r="H49" s="41" t="s">
        <v>76</v>
      </c>
      <c r="I49" s="16" t="str">
        <f>H48</f>
        <v>Fitzroy Rebels</v>
      </c>
      <c r="J49" s="16" t="str">
        <f>H49</f>
        <v>The Village</v>
      </c>
    </row>
    <row r="50" spans="1:10" ht="16.2" customHeight="1" x14ac:dyDescent="0.3">
      <c r="A50" s="20"/>
      <c r="B50" s="21"/>
      <c r="C50" s="28"/>
      <c r="D50" s="20"/>
      <c r="E50" s="20"/>
      <c r="F50" s="30"/>
      <c r="G50" s="30"/>
      <c r="H50" s="30"/>
      <c r="I50" s="20"/>
      <c r="J50" s="20"/>
    </row>
    <row r="51" spans="1:10" ht="16.2" customHeight="1" x14ac:dyDescent="0.3">
      <c r="A51" s="16" t="s">
        <v>36</v>
      </c>
      <c r="B51" s="38">
        <f>B46+7</f>
        <v>46149</v>
      </c>
      <c r="C51" s="26" t="s">
        <v>9</v>
      </c>
      <c r="D51" s="16">
        <v>1</v>
      </c>
      <c r="E51" s="16" t="str">
        <f>F51</f>
        <v>The Village</v>
      </c>
      <c r="F51" s="41" t="s">
        <v>76</v>
      </c>
      <c r="G51" s="41" t="s">
        <v>12</v>
      </c>
      <c r="H51" s="41" t="s">
        <v>77</v>
      </c>
      <c r="I51" s="16" t="str">
        <f>F52</f>
        <v>Rhythm &amp; Spikes</v>
      </c>
      <c r="J51" s="16"/>
    </row>
    <row r="52" spans="1:10" ht="16.2" customHeight="1" x14ac:dyDescent="0.3">
      <c r="A52" s="16" t="str">
        <f t="shared" si="1"/>
        <v>Round 10</v>
      </c>
      <c r="B52" s="38">
        <f>B51</f>
        <v>46149</v>
      </c>
      <c r="C52" s="26" t="s">
        <v>14</v>
      </c>
      <c r="D52" s="16">
        <v>1</v>
      </c>
      <c r="E52" s="16"/>
      <c r="F52" s="41" t="s">
        <v>75</v>
      </c>
      <c r="G52" s="41" t="s">
        <v>12</v>
      </c>
      <c r="H52" s="41" t="s">
        <v>70</v>
      </c>
      <c r="I52" s="16" t="str">
        <f>H51</f>
        <v>Sparkles</v>
      </c>
      <c r="J52" s="16" t="str">
        <f>H52</f>
        <v>Easties</v>
      </c>
    </row>
    <row r="53" spans="1:10" ht="16.2" customHeight="1" x14ac:dyDescent="0.3">
      <c r="A53" s="16" t="str">
        <f t="shared" si="1"/>
        <v>Round 10</v>
      </c>
      <c r="B53" s="38">
        <f t="shared" si="1"/>
        <v>46149</v>
      </c>
      <c r="C53" s="26" t="s">
        <v>9</v>
      </c>
      <c r="D53" s="16">
        <v>2</v>
      </c>
      <c r="E53" s="16" t="str">
        <f>F53</f>
        <v>Fitzroy Rebels</v>
      </c>
      <c r="F53" s="41" t="s">
        <v>71</v>
      </c>
      <c r="G53" s="41" t="s">
        <v>12</v>
      </c>
      <c r="H53" s="41" t="s">
        <v>72</v>
      </c>
      <c r="I53" s="16" t="str">
        <f>F54</f>
        <v>Mixed Bag</v>
      </c>
      <c r="J53" s="16"/>
    </row>
    <row r="54" spans="1:10" ht="16.2" customHeight="1" x14ac:dyDescent="0.3">
      <c r="A54" s="16" t="str">
        <f t="shared" si="1"/>
        <v>Round 10</v>
      </c>
      <c r="B54" s="38">
        <f t="shared" si="1"/>
        <v>46149</v>
      </c>
      <c r="C54" s="26" t="s">
        <v>14</v>
      </c>
      <c r="D54" s="16">
        <v>2</v>
      </c>
      <c r="E54" s="16"/>
      <c r="F54" s="41" t="s">
        <v>73</v>
      </c>
      <c r="G54" s="41" t="s">
        <v>12</v>
      </c>
      <c r="H54" s="41" t="s">
        <v>74</v>
      </c>
      <c r="I54" s="16" t="str">
        <f>H53</f>
        <v>Kiss My Ace</v>
      </c>
      <c r="J54" s="16" t="str">
        <f>H54</f>
        <v>On the Ball</v>
      </c>
    </row>
    <row r="55" spans="1:10" ht="16.2" customHeight="1" x14ac:dyDescent="0.3">
      <c r="A55" s="20"/>
      <c r="B55" s="21"/>
      <c r="C55" s="28"/>
      <c r="D55" s="20"/>
      <c r="E55" s="20"/>
      <c r="F55" s="30"/>
      <c r="G55" s="30"/>
      <c r="H55" s="30"/>
      <c r="I55" s="20"/>
      <c r="J55" s="20"/>
    </row>
    <row r="56" spans="1:10" ht="16.2" customHeight="1" x14ac:dyDescent="0.3">
      <c r="A56" s="16" t="s">
        <v>37</v>
      </c>
      <c r="B56" s="38">
        <f>B51+7</f>
        <v>46156</v>
      </c>
      <c r="C56" s="26" t="s">
        <v>9</v>
      </c>
      <c r="D56" s="16">
        <v>1</v>
      </c>
      <c r="E56" s="16" t="str">
        <f>F56</f>
        <v>Kiss My Ace</v>
      </c>
      <c r="F56" s="41" t="s">
        <v>72</v>
      </c>
      <c r="G56" s="41" t="s">
        <v>12</v>
      </c>
      <c r="H56" s="41" t="s">
        <v>70</v>
      </c>
      <c r="I56" s="16" t="str">
        <f>F57</f>
        <v>On the Ball</v>
      </c>
      <c r="J56" s="16"/>
    </row>
    <row r="57" spans="1:10" ht="16.2" customHeight="1" x14ac:dyDescent="0.3">
      <c r="A57" s="16" t="str">
        <f t="shared" si="1"/>
        <v>Round 11</v>
      </c>
      <c r="B57" s="38">
        <f>B56</f>
        <v>46156</v>
      </c>
      <c r="C57" s="26" t="s">
        <v>14</v>
      </c>
      <c r="D57" s="16">
        <v>1</v>
      </c>
      <c r="E57" s="16"/>
      <c r="F57" s="41" t="s">
        <v>74</v>
      </c>
      <c r="G57" s="41" t="s">
        <v>12</v>
      </c>
      <c r="H57" s="41" t="s">
        <v>71</v>
      </c>
      <c r="I57" s="16" t="str">
        <f>H56</f>
        <v>Easties</v>
      </c>
      <c r="J57" s="16" t="str">
        <f>H57</f>
        <v>Fitzroy Rebels</v>
      </c>
    </row>
    <row r="58" spans="1:10" ht="16.2" customHeight="1" x14ac:dyDescent="0.3">
      <c r="A58" s="16" t="str">
        <f t="shared" si="1"/>
        <v>Round 11</v>
      </c>
      <c r="B58" s="38">
        <f t="shared" si="1"/>
        <v>46156</v>
      </c>
      <c r="C58" s="26" t="s">
        <v>9</v>
      </c>
      <c r="D58" s="16">
        <v>2</v>
      </c>
      <c r="E58" s="16" t="str">
        <f>F58</f>
        <v>Sparkles</v>
      </c>
      <c r="F58" s="41" t="s">
        <v>77</v>
      </c>
      <c r="G58" s="41" t="s">
        <v>12</v>
      </c>
      <c r="H58" s="41" t="s">
        <v>73</v>
      </c>
      <c r="I58" s="16" t="str">
        <f>F59</f>
        <v>The Village</v>
      </c>
      <c r="J58" s="16"/>
    </row>
    <row r="59" spans="1:10" ht="16.2" customHeight="1" x14ac:dyDescent="0.3">
      <c r="A59" s="16" t="str">
        <f t="shared" si="1"/>
        <v>Round 11</v>
      </c>
      <c r="B59" s="38">
        <f t="shared" si="1"/>
        <v>46156</v>
      </c>
      <c r="C59" s="26" t="s">
        <v>14</v>
      </c>
      <c r="D59" s="16">
        <v>2</v>
      </c>
      <c r="E59" s="16"/>
      <c r="F59" s="41" t="s">
        <v>76</v>
      </c>
      <c r="G59" s="41" t="s">
        <v>12</v>
      </c>
      <c r="H59" s="41" t="s">
        <v>75</v>
      </c>
      <c r="I59" s="16" t="str">
        <f>H58</f>
        <v>Mixed Bag</v>
      </c>
      <c r="J59" s="16" t="str">
        <f>H59</f>
        <v>Rhythm &amp; Spikes</v>
      </c>
    </row>
    <row r="60" spans="1:10" ht="16.2" customHeight="1" x14ac:dyDescent="0.3">
      <c r="A60" s="20"/>
      <c r="B60" s="21"/>
      <c r="C60" s="28"/>
      <c r="D60" s="20"/>
      <c r="E60" s="20"/>
      <c r="F60" s="30"/>
      <c r="G60" s="30"/>
      <c r="H60" s="30"/>
      <c r="I60" s="20"/>
      <c r="J60" s="20"/>
    </row>
    <row r="61" spans="1:10" ht="16.2" customHeight="1" x14ac:dyDescent="0.3">
      <c r="A61" s="20"/>
      <c r="B61" s="21"/>
      <c r="C61" s="28"/>
      <c r="D61" s="20"/>
      <c r="E61" s="20"/>
      <c r="F61" s="30"/>
      <c r="G61" s="30"/>
      <c r="H61" s="30"/>
      <c r="I61" s="20"/>
      <c r="J61" s="20"/>
    </row>
    <row r="62" spans="1:10" ht="16.2" customHeight="1" x14ac:dyDescent="0.3">
      <c r="A62" s="20"/>
      <c r="B62" s="21"/>
      <c r="C62" s="28"/>
      <c r="D62" s="20"/>
      <c r="E62" s="20"/>
      <c r="F62" s="30"/>
      <c r="G62" s="30"/>
      <c r="H62" s="30"/>
      <c r="I62" s="20"/>
      <c r="J62" s="20"/>
    </row>
    <row r="63" spans="1:10" ht="16.2" customHeight="1" x14ac:dyDescent="0.3">
      <c r="A63" s="15" t="s">
        <v>60</v>
      </c>
      <c r="B63" s="15" t="s">
        <v>0</v>
      </c>
      <c r="C63" s="25" t="s">
        <v>1</v>
      </c>
      <c r="D63" s="15" t="s">
        <v>2</v>
      </c>
      <c r="E63" s="15" t="s">
        <v>3</v>
      </c>
      <c r="F63" s="15" t="s">
        <v>4</v>
      </c>
      <c r="G63" s="15"/>
      <c r="H63" s="15" t="s">
        <v>5</v>
      </c>
      <c r="I63" s="15" t="s">
        <v>6</v>
      </c>
      <c r="J63" s="15" t="s">
        <v>7</v>
      </c>
    </row>
    <row r="64" spans="1:10" ht="16.2" customHeight="1" x14ac:dyDescent="0.3">
      <c r="A64" s="16" t="s">
        <v>38</v>
      </c>
      <c r="B64" s="38">
        <f>B56+7</f>
        <v>46163</v>
      </c>
      <c r="C64" s="26" t="s">
        <v>9</v>
      </c>
      <c r="D64" s="16">
        <v>1</v>
      </c>
      <c r="E64" s="16" t="str">
        <f>F64</f>
        <v>Kiss My Ace</v>
      </c>
      <c r="F64" s="41" t="s">
        <v>72</v>
      </c>
      <c r="G64" s="41" t="s">
        <v>12</v>
      </c>
      <c r="H64" s="41" t="s">
        <v>76</v>
      </c>
      <c r="I64" s="16" t="str">
        <f>F65</f>
        <v>Mixed Bag</v>
      </c>
      <c r="J64" s="16"/>
    </row>
    <row r="65" spans="1:10" ht="16.2" customHeight="1" x14ac:dyDescent="0.3">
      <c r="A65" s="16" t="str">
        <f t="shared" si="1"/>
        <v>Round 12</v>
      </c>
      <c r="B65" s="38">
        <f>B64</f>
        <v>46163</v>
      </c>
      <c r="C65" s="26" t="s">
        <v>14</v>
      </c>
      <c r="D65" s="16">
        <v>1</v>
      </c>
      <c r="E65" s="16"/>
      <c r="F65" s="41" t="s">
        <v>73</v>
      </c>
      <c r="G65" s="41" t="s">
        <v>12</v>
      </c>
      <c r="H65" s="41" t="s">
        <v>75</v>
      </c>
      <c r="I65" s="16" t="str">
        <f>H64</f>
        <v>The Village</v>
      </c>
      <c r="J65" s="16" t="str">
        <f>H65</f>
        <v>Rhythm &amp; Spikes</v>
      </c>
    </row>
    <row r="66" spans="1:10" ht="16.2" customHeight="1" x14ac:dyDescent="0.3">
      <c r="A66" s="16" t="str">
        <f t="shared" si="1"/>
        <v>Round 12</v>
      </c>
      <c r="B66" s="38">
        <f t="shared" si="1"/>
        <v>46163</v>
      </c>
      <c r="C66" s="26" t="s">
        <v>9</v>
      </c>
      <c r="D66" s="16">
        <v>2</v>
      </c>
      <c r="E66" s="16" t="str">
        <f>F66</f>
        <v>Fitzroy Rebels</v>
      </c>
      <c r="F66" s="41" t="s">
        <v>71</v>
      </c>
      <c r="G66" s="41" t="s">
        <v>12</v>
      </c>
      <c r="H66" s="41" t="s">
        <v>70</v>
      </c>
      <c r="I66" s="16" t="str">
        <f>F67</f>
        <v>Sparkles</v>
      </c>
      <c r="J66" s="16"/>
    </row>
    <row r="67" spans="1:10" ht="16.2" customHeight="1" x14ac:dyDescent="0.3">
      <c r="A67" s="16" t="str">
        <f t="shared" si="1"/>
        <v>Round 12</v>
      </c>
      <c r="B67" s="38">
        <f t="shared" si="1"/>
        <v>46163</v>
      </c>
      <c r="C67" s="26" t="s">
        <v>14</v>
      </c>
      <c r="D67" s="16">
        <v>2</v>
      </c>
      <c r="E67" s="16"/>
      <c r="F67" s="41" t="s">
        <v>77</v>
      </c>
      <c r="G67" s="41" t="s">
        <v>12</v>
      </c>
      <c r="H67" s="41" t="s">
        <v>74</v>
      </c>
      <c r="I67" s="16" t="str">
        <f>H66</f>
        <v>Easties</v>
      </c>
      <c r="J67" s="16" t="str">
        <f>H67</f>
        <v>On the Ball</v>
      </c>
    </row>
    <row r="68" spans="1:10" ht="16.2" customHeight="1" x14ac:dyDescent="0.3">
      <c r="A68" s="20"/>
      <c r="B68" s="21"/>
      <c r="C68" s="28"/>
      <c r="D68" s="20"/>
      <c r="E68" s="20"/>
      <c r="F68" s="30"/>
      <c r="G68" s="30"/>
      <c r="H68" s="30"/>
      <c r="I68" s="20"/>
      <c r="J68" s="20"/>
    </row>
    <row r="69" spans="1:10" ht="16.2" customHeight="1" x14ac:dyDescent="0.3">
      <c r="A69" s="16" t="s">
        <v>39</v>
      </c>
      <c r="B69" s="38">
        <f>B64+7</f>
        <v>46170</v>
      </c>
      <c r="C69" s="26" t="s">
        <v>9</v>
      </c>
      <c r="D69" s="16">
        <v>1</v>
      </c>
      <c r="E69" s="16" t="str">
        <f>F69</f>
        <v>Easties</v>
      </c>
      <c r="F69" s="41" t="s">
        <v>70</v>
      </c>
      <c r="G69" s="41" t="s">
        <v>12</v>
      </c>
      <c r="H69" s="41" t="s">
        <v>76</v>
      </c>
      <c r="I69" s="16" t="str">
        <f>F70</f>
        <v>Mixed Bag</v>
      </c>
      <c r="J69" s="16"/>
    </row>
    <row r="70" spans="1:10" ht="16.2" customHeight="1" x14ac:dyDescent="0.3">
      <c r="A70" s="16" t="str">
        <f t="shared" si="1"/>
        <v>Round 13</v>
      </c>
      <c r="B70" s="38">
        <f>B69</f>
        <v>46170</v>
      </c>
      <c r="C70" s="26" t="s">
        <v>14</v>
      </c>
      <c r="D70" s="16">
        <v>1</v>
      </c>
      <c r="E70" s="16"/>
      <c r="F70" s="41" t="s">
        <v>73</v>
      </c>
      <c r="G70" s="41" t="s">
        <v>12</v>
      </c>
      <c r="H70" s="41" t="s">
        <v>72</v>
      </c>
      <c r="I70" s="16" t="str">
        <f>H69</f>
        <v>The Village</v>
      </c>
      <c r="J70" s="16" t="str">
        <f>H70</f>
        <v>Kiss My Ace</v>
      </c>
    </row>
    <row r="71" spans="1:10" ht="16.2" customHeight="1" x14ac:dyDescent="0.3">
      <c r="A71" s="16" t="str">
        <f t="shared" si="1"/>
        <v>Round 13</v>
      </c>
      <c r="B71" s="38">
        <f t="shared" si="1"/>
        <v>46170</v>
      </c>
      <c r="C71" s="26" t="s">
        <v>9</v>
      </c>
      <c r="D71" s="16">
        <v>2</v>
      </c>
      <c r="E71" s="16" t="str">
        <f>F71</f>
        <v>Rhythm &amp; Spikes</v>
      </c>
      <c r="F71" s="41" t="s">
        <v>75</v>
      </c>
      <c r="G71" s="41" t="s">
        <v>12</v>
      </c>
      <c r="H71" s="41" t="s">
        <v>74</v>
      </c>
      <c r="I71" s="16" t="str">
        <f>F72</f>
        <v>Sparkles</v>
      </c>
      <c r="J71" s="16"/>
    </row>
    <row r="72" spans="1:10" ht="16.2" customHeight="1" x14ac:dyDescent="0.3">
      <c r="A72" s="16" t="str">
        <f t="shared" si="1"/>
        <v>Round 13</v>
      </c>
      <c r="B72" s="38">
        <f t="shared" si="1"/>
        <v>46170</v>
      </c>
      <c r="C72" s="26" t="s">
        <v>14</v>
      </c>
      <c r="D72" s="16">
        <v>2</v>
      </c>
      <c r="E72" s="16"/>
      <c r="F72" s="41" t="s">
        <v>77</v>
      </c>
      <c r="G72" s="41" t="s">
        <v>12</v>
      </c>
      <c r="H72" s="41" t="s">
        <v>71</v>
      </c>
      <c r="I72" s="16" t="str">
        <f>H71</f>
        <v>On the Ball</v>
      </c>
      <c r="J72" s="16" t="str">
        <f>H72</f>
        <v>Fitzroy Rebels</v>
      </c>
    </row>
    <row r="73" spans="1:10" ht="16.2" customHeight="1" x14ac:dyDescent="0.3">
      <c r="A73" s="20"/>
      <c r="B73" s="21"/>
      <c r="C73" s="28"/>
      <c r="D73" s="20"/>
      <c r="E73" s="20"/>
      <c r="F73" s="30"/>
      <c r="G73" s="30"/>
      <c r="H73" s="30"/>
      <c r="I73" s="20"/>
      <c r="J73" s="20"/>
    </row>
    <row r="74" spans="1:10" ht="16.2" customHeight="1" x14ac:dyDescent="0.3">
      <c r="A74" s="16" t="s">
        <v>40</v>
      </c>
      <c r="B74" s="38">
        <f>B69+7</f>
        <v>46177</v>
      </c>
      <c r="C74" s="26" t="s">
        <v>9</v>
      </c>
      <c r="D74" s="16">
        <v>1</v>
      </c>
      <c r="E74" s="16" t="str">
        <f>F74</f>
        <v>Sparkles</v>
      </c>
      <c r="F74" s="41" t="s">
        <v>77</v>
      </c>
      <c r="G74" s="41" t="s">
        <v>12</v>
      </c>
      <c r="H74" s="41" t="s">
        <v>73</v>
      </c>
      <c r="I74" s="16" t="str">
        <f>F75</f>
        <v>On the Ball</v>
      </c>
      <c r="J74" s="16"/>
    </row>
    <row r="75" spans="1:10" ht="16.2" customHeight="1" x14ac:dyDescent="0.3">
      <c r="A75" s="16" t="str">
        <f t="shared" si="1"/>
        <v>Round 14</v>
      </c>
      <c r="B75" s="38">
        <f>B74</f>
        <v>46177</v>
      </c>
      <c r="C75" s="26" t="s">
        <v>14</v>
      </c>
      <c r="D75" s="16">
        <v>1</v>
      </c>
      <c r="E75" s="16"/>
      <c r="F75" s="41" t="s">
        <v>74</v>
      </c>
      <c r="G75" s="41" t="s">
        <v>12</v>
      </c>
      <c r="H75" s="41" t="s">
        <v>72</v>
      </c>
      <c r="I75" s="16" t="str">
        <f>H74</f>
        <v>Mixed Bag</v>
      </c>
      <c r="J75" s="16" t="str">
        <f>H75</f>
        <v>Kiss My Ace</v>
      </c>
    </row>
    <row r="76" spans="1:10" ht="16.2" customHeight="1" x14ac:dyDescent="0.3">
      <c r="A76" s="16" t="str">
        <f t="shared" si="1"/>
        <v>Round 14</v>
      </c>
      <c r="B76" s="38">
        <f t="shared" si="1"/>
        <v>46177</v>
      </c>
      <c r="C76" s="26" t="s">
        <v>9</v>
      </c>
      <c r="D76" s="16">
        <v>2</v>
      </c>
      <c r="E76" s="16" t="str">
        <f>F76</f>
        <v>Easties</v>
      </c>
      <c r="F76" s="41" t="s">
        <v>70</v>
      </c>
      <c r="G76" s="41" t="s">
        <v>12</v>
      </c>
      <c r="H76" s="41" t="s">
        <v>75</v>
      </c>
      <c r="I76" s="16" t="str">
        <f>F77</f>
        <v>Fitzroy Rebels</v>
      </c>
      <c r="J76" s="16"/>
    </row>
    <row r="77" spans="1:10" ht="16.2" customHeight="1" x14ac:dyDescent="0.3">
      <c r="A77" s="16" t="str">
        <f t="shared" si="1"/>
        <v>Round 14</v>
      </c>
      <c r="B77" s="38">
        <f t="shared" si="1"/>
        <v>46177</v>
      </c>
      <c r="C77" s="26" t="s">
        <v>14</v>
      </c>
      <c r="D77" s="16">
        <v>2</v>
      </c>
      <c r="E77" s="16"/>
      <c r="F77" s="41" t="s">
        <v>71</v>
      </c>
      <c r="G77" s="41" t="s">
        <v>12</v>
      </c>
      <c r="H77" s="41" t="s">
        <v>76</v>
      </c>
      <c r="I77" s="16" t="str">
        <f>H76</f>
        <v>Rhythm &amp; Spikes</v>
      </c>
      <c r="J77" s="16" t="str">
        <f>H77</f>
        <v>The Village</v>
      </c>
    </row>
    <row r="78" spans="1:10" ht="16.2" customHeight="1" x14ac:dyDescent="0.3">
      <c r="A78" s="20"/>
      <c r="B78" s="21"/>
      <c r="C78" s="28"/>
      <c r="D78" s="20"/>
      <c r="E78" s="20"/>
      <c r="F78" s="30"/>
      <c r="G78" s="30"/>
      <c r="H78" s="30"/>
      <c r="I78" s="20"/>
      <c r="J78" s="20"/>
    </row>
    <row r="79" spans="1:10" ht="16.2" customHeight="1" x14ac:dyDescent="0.3">
      <c r="A79" s="22" t="s">
        <v>62</v>
      </c>
      <c r="B79" s="9">
        <f>B74+7</f>
        <v>46184</v>
      </c>
      <c r="C79" s="27"/>
      <c r="D79" s="22"/>
      <c r="E79" s="22"/>
      <c r="F79" s="22"/>
      <c r="G79" s="22"/>
      <c r="H79" s="22"/>
      <c r="I79" s="22"/>
      <c r="J79" s="22"/>
    </row>
    <row r="80" spans="1:10" ht="16.2" customHeight="1" x14ac:dyDescent="0.3">
      <c r="A80" s="24" t="s">
        <v>43</v>
      </c>
      <c r="B80" s="23">
        <f>B79+6</f>
        <v>46190</v>
      </c>
      <c r="C80" s="39"/>
      <c r="D80" s="40"/>
      <c r="E80" s="40" t="s">
        <v>90</v>
      </c>
      <c r="F80" s="40"/>
      <c r="G80" s="40"/>
      <c r="H80" s="40"/>
      <c r="I80" s="40"/>
      <c r="J80" s="40"/>
    </row>
    <row r="81" spans="3:11" ht="16.2" customHeight="1" x14ac:dyDescent="0.3">
      <c r="C81" s="28"/>
      <c r="D81" s="20"/>
      <c r="E81" s="20"/>
      <c r="F81" s="20"/>
      <c r="G81" s="20"/>
      <c r="H81" s="20"/>
      <c r="I81" s="20"/>
      <c r="J81" s="20"/>
    </row>
    <row r="83" spans="3:11" ht="16.2" customHeight="1" x14ac:dyDescent="0.3">
      <c r="K83" s="20"/>
    </row>
    <row r="84" spans="3:11" ht="16.2" customHeight="1" x14ac:dyDescent="0.3">
      <c r="K84" s="20"/>
    </row>
    <row r="86" spans="3:11" ht="16.2" customHeight="1" x14ac:dyDescent="0.3">
      <c r="K86" s="20"/>
    </row>
    <row r="87" spans="3:11" ht="16.2" customHeight="1" x14ac:dyDescent="0.3">
      <c r="K87" s="20"/>
    </row>
    <row r="88" spans="3:11" ht="16.2" customHeight="1" x14ac:dyDescent="0.3">
      <c r="K88" s="20"/>
    </row>
    <row r="89" spans="3:11" ht="16.2" customHeight="1" x14ac:dyDescent="0.3">
      <c r="K89" s="20"/>
    </row>
    <row r="90" spans="3:11" ht="16.2" customHeight="1" x14ac:dyDescent="0.3">
      <c r="K90" s="20"/>
    </row>
    <row r="91" spans="3:11" ht="16.2" customHeight="1" x14ac:dyDescent="0.3">
      <c r="K91" s="20"/>
    </row>
    <row r="92" spans="3:11" ht="16.2" customHeight="1" x14ac:dyDescent="0.3">
      <c r="K92" s="20"/>
    </row>
    <row r="93" spans="3:11" ht="16.2" customHeight="1" x14ac:dyDescent="0.3">
      <c r="K93" s="20"/>
    </row>
    <row r="94" spans="3:11" ht="16.2" customHeight="1" x14ac:dyDescent="0.3">
      <c r="K94" s="20"/>
    </row>
    <row r="95" spans="3:11" ht="16.2" customHeight="1" x14ac:dyDescent="0.3">
      <c r="K95" s="20"/>
    </row>
    <row r="96" spans="3:11" ht="16.2" customHeight="1" x14ac:dyDescent="0.3">
      <c r="K96" s="20"/>
    </row>
    <row r="97" spans="1:12" ht="16.2" customHeight="1" x14ac:dyDescent="0.3">
      <c r="K97" s="20"/>
    </row>
    <row r="98" spans="1:12" ht="16.2" customHeight="1" x14ac:dyDescent="0.3">
      <c r="K98" s="20"/>
    </row>
    <row r="99" spans="1:12" ht="16.2" customHeight="1" x14ac:dyDescent="0.3">
      <c r="K99" s="20"/>
    </row>
    <row r="100" spans="1:12" ht="16.2" customHeight="1" x14ac:dyDescent="0.3">
      <c r="A100" s="20" t="s">
        <v>64</v>
      </c>
      <c r="B100" s="20" t="s">
        <v>9</v>
      </c>
      <c r="C100" s="28" t="s">
        <v>14</v>
      </c>
      <c r="D100" s="28" t="s">
        <v>69</v>
      </c>
      <c r="E100" s="20">
        <v>1</v>
      </c>
      <c r="F100" s="20">
        <v>2</v>
      </c>
      <c r="G100" s="20" t="s">
        <v>66</v>
      </c>
      <c r="H100" s="20" t="s">
        <v>65</v>
      </c>
      <c r="I100" s="20" t="s">
        <v>68</v>
      </c>
      <c r="J100" s="20" t="s">
        <v>6</v>
      </c>
      <c r="K100" s="20" t="s">
        <v>67</v>
      </c>
      <c r="L100" s="20"/>
    </row>
    <row r="101" spans="1:12" ht="16.2" customHeight="1" x14ac:dyDescent="0.3">
      <c r="A101" s="20" t="s">
        <v>70</v>
      </c>
      <c r="B101" s="20">
        <f t="shared" ref="B101:C108" si="2">COUNTIFS($F$1:$F$77,$A101,$C$1:$C$77,B$100)+COUNTIFS($H$1:$H$77,$A101,$C$1:$C$77,B$100)</f>
        <v>8</v>
      </c>
      <c r="C101" s="20">
        <f t="shared" si="2"/>
        <v>6</v>
      </c>
      <c r="D101" s="28">
        <f>B101+C101</f>
        <v>14</v>
      </c>
      <c r="E101" s="20">
        <f t="shared" ref="E101:F108" si="3">COUNTIFS($F$1:$F$77,$A101,$D$1:$D$77,E$100)+COUNTIFS($H$1:$H$77,$A101,$D$1:$D$77,E$100)</f>
        <v>7</v>
      </c>
      <c r="F101" s="20">
        <f t="shared" si="3"/>
        <v>7</v>
      </c>
      <c r="G101" s="20">
        <f t="shared" ref="G101:G108" si="4">COUNTIF($E$2:$E$77,$A101)</f>
        <v>5</v>
      </c>
      <c r="H101" s="20">
        <f t="shared" ref="H101:H108" si="5">COUNTIF($J$2:$J$77,$A101)</f>
        <v>3</v>
      </c>
      <c r="I101" s="20">
        <f>G101+H101</f>
        <v>8</v>
      </c>
      <c r="J101" s="20">
        <f t="shared" ref="J101:J108" si="6">COUNTIF($I$2:$I$77,$A101)</f>
        <v>6</v>
      </c>
      <c r="K101" s="20">
        <f>I101+J101</f>
        <v>14</v>
      </c>
      <c r="L101" s="20"/>
    </row>
    <row r="102" spans="1:12" ht="16.2" customHeight="1" x14ac:dyDescent="0.3">
      <c r="A102" s="20" t="s">
        <v>71</v>
      </c>
      <c r="B102" s="20">
        <f t="shared" si="2"/>
        <v>6</v>
      </c>
      <c r="C102" s="20">
        <f t="shared" si="2"/>
        <v>8</v>
      </c>
      <c r="D102" s="28">
        <f t="shared" ref="D102:D108" si="7">B102+C102</f>
        <v>14</v>
      </c>
      <c r="E102" s="20">
        <f t="shared" si="3"/>
        <v>7</v>
      </c>
      <c r="F102" s="20">
        <f t="shared" si="3"/>
        <v>7</v>
      </c>
      <c r="G102" s="20">
        <f t="shared" si="4"/>
        <v>3</v>
      </c>
      <c r="H102" s="20">
        <f t="shared" si="5"/>
        <v>3</v>
      </c>
      <c r="I102" s="20">
        <f t="shared" ref="I102:I108" si="8">G102+H102</f>
        <v>6</v>
      </c>
      <c r="J102" s="20">
        <f t="shared" si="6"/>
        <v>8</v>
      </c>
      <c r="K102" s="20">
        <f t="shared" ref="K102:K108" si="9">I102+J102</f>
        <v>14</v>
      </c>
      <c r="L102" s="20"/>
    </row>
    <row r="103" spans="1:12" ht="16.2" customHeight="1" x14ac:dyDescent="0.3">
      <c r="A103" s="20" t="s">
        <v>72</v>
      </c>
      <c r="B103" s="20">
        <f t="shared" si="2"/>
        <v>6</v>
      </c>
      <c r="C103" s="20">
        <f t="shared" si="2"/>
        <v>8</v>
      </c>
      <c r="D103" s="28">
        <f t="shared" si="7"/>
        <v>14</v>
      </c>
      <c r="E103" s="20">
        <f t="shared" si="3"/>
        <v>7</v>
      </c>
      <c r="F103" s="20">
        <f t="shared" si="3"/>
        <v>7</v>
      </c>
      <c r="G103" s="20">
        <f t="shared" si="4"/>
        <v>3</v>
      </c>
      <c r="H103" s="20">
        <f t="shared" si="5"/>
        <v>5</v>
      </c>
      <c r="I103" s="20">
        <f t="shared" si="8"/>
        <v>8</v>
      </c>
      <c r="J103" s="20">
        <f t="shared" si="6"/>
        <v>6</v>
      </c>
      <c r="K103" s="20">
        <f t="shared" si="9"/>
        <v>14</v>
      </c>
      <c r="L103" s="20"/>
    </row>
    <row r="104" spans="1:12" ht="16.2" customHeight="1" x14ac:dyDescent="0.3">
      <c r="A104" s="20" t="s">
        <v>73</v>
      </c>
      <c r="B104" s="20">
        <f t="shared" si="2"/>
        <v>8</v>
      </c>
      <c r="C104" s="20">
        <f t="shared" si="2"/>
        <v>6</v>
      </c>
      <c r="D104" s="28">
        <f t="shared" si="7"/>
        <v>14</v>
      </c>
      <c r="E104" s="20">
        <f t="shared" si="3"/>
        <v>7</v>
      </c>
      <c r="F104" s="20">
        <f t="shared" si="3"/>
        <v>7</v>
      </c>
      <c r="G104" s="20">
        <f t="shared" si="4"/>
        <v>6</v>
      </c>
      <c r="H104" s="20">
        <f t="shared" si="5"/>
        <v>2</v>
      </c>
      <c r="I104" s="20">
        <f t="shared" si="8"/>
        <v>8</v>
      </c>
      <c r="J104" s="20">
        <f t="shared" si="6"/>
        <v>6</v>
      </c>
      <c r="K104" s="20">
        <f t="shared" si="9"/>
        <v>14</v>
      </c>
      <c r="L104" s="20"/>
    </row>
    <row r="105" spans="1:12" ht="16.2" customHeight="1" x14ac:dyDescent="0.3">
      <c r="A105" s="20" t="s">
        <v>74</v>
      </c>
      <c r="B105" s="20">
        <f t="shared" si="2"/>
        <v>8</v>
      </c>
      <c r="C105" s="20">
        <f t="shared" si="2"/>
        <v>6</v>
      </c>
      <c r="D105" s="28">
        <f t="shared" si="7"/>
        <v>14</v>
      </c>
      <c r="E105" s="20">
        <f t="shared" si="3"/>
        <v>7</v>
      </c>
      <c r="F105" s="20">
        <f t="shared" si="3"/>
        <v>7</v>
      </c>
      <c r="G105" s="20">
        <f t="shared" si="4"/>
        <v>3</v>
      </c>
      <c r="H105" s="20">
        <f t="shared" si="5"/>
        <v>3</v>
      </c>
      <c r="I105" s="20">
        <f t="shared" si="8"/>
        <v>6</v>
      </c>
      <c r="J105" s="20">
        <f t="shared" si="6"/>
        <v>8</v>
      </c>
      <c r="K105" s="20">
        <f t="shared" si="9"/>
        <v>14</v>
      </c>
      <c r="L105" s="20"/>
    </row>
    <row r="106" spans="1:12" ht="16.2" customHeight="1" x14ac:dyDescent="0.3">
      <c r="A106" s="20" t="s">
        <v>75</v>
      </c>
      <c r="B106" s="20">
        <f t="shared" si="2"/>
        <v>6</v>
      </c>
      <c r="C106" s="20">
        <f t="shared" si="2"/>
        <v>8</v>
      </c>
      <c r="D106" s="28">
        <f t="shared" si="7"/>
        <v>14</v>
      </c>
      <c r="E106" s="20">
        <f t="shared" si="3"/>
        <v>8</v>
      </c>
      <c r="F106" s="20">
        <f t="shared" si="3"/>
        <v>6</v>
      </c>
      <c r="G106" s="20">
        <f t="shared" si="4"/>
        <v>2</v>
      </c>
      <c r="H106" s="20">
        <f t="shared" si="5"/>
        <v>6</v>
      </c>
      <c r="I106" s="20">
        <f t="shared" si="8"/>
        <v>8</v>
      </c>
      <c r="J106" s="20">
        <f t="shared" si="6"/>
        <v>6</v>
      </c>
      <c r="K106" s="20">
        <f t="shared" si="9"/>
        <v>14</v>
      </c>
      <c r="L106" s="20"/>
    </row>
    <row r="107" spans="1:12" ht="16.2" customHeight="1" x14ac:dyDescent="0.3">
      <c r="A107" s="20" t="s">
        <v>77</v>
      </c>
      <c r="B107" s="20">
        <f t="shared" si="2"/>
        <v>6</v>
      </c>
      <c r="C107" s="20">
        <f t="shared" si="2"/>
        <v>8</v>
      </c>
      <c r="D107" s="28">
        <f t="shared" si="7"/>
        <v>14</v>
      </c>
      <c r="E107" s="20">
        <f t="shared" si="3"/>
        <v>7</v>
      </c>
      <c r="F107" s="20">
        <f t="shared" si="3"/>
        <v>7</v>
      </c>
      <c r="G107" s="20">
        <f t="shared" si="4"/>
        <v>4</v>
      </c>
      <c r="H107" s="20">
        <f t="shared" si="5"/>
        <v>2</v>
      </c>
      <c r="I107" s="20">
        <f t="shared" si="8"/>
        <v>6</v>
      </c>
      <c r="J107" s="20">
        <f t="shared" si="6"/>
        <v>8</v>
      </c>
      <c r="K107" s="20">
        <f t="shared" si="9"/>
        <v>14</v>
      </c>
      <c r="L107" s="20"/>
    </row>
    <row r="108" spans="1:12" ht="16.2" customHeight="1" x14ac:dyDescent="0.3">
      <c r="A108" s="20" t="s">
        <v>76</v>
      </c>
      <c r="B108" s="20">
        <f t="shared" si="2"/>
        <v>8</v>
      </c>
      <c r="C108" s="20">
        <f t="shared" si="2"/>
        <v>6</v>
      </c>
      <c r="D108" s="28">
        <f t="shared" si="7"/>
        <v>14</v>
      </c>
      <c r="E108" s="20">
        <f t="shared" si="3"/>
        <v>6</v>
      </c>
      <c r="F108" s="20">
        <f t="shared" si="3"/>
        <v>8</v>
      </c>
      <c r="G108" s="20">
        <f t="shared" si="4"/>
        <v>2</v>
      </c>
      <c r="H108" s="20">
        <f t="shared" si="5"/>
        <v>4</v>
      </c>
      <c r="I108" s="20">
        <f t="shared" si="8"/>
        <v>6</v>
      </c>
      <c r="J108" s="20">
        <f t="shared" si="6"/>
        <v>8</v>
      </c>
      <c r="K108" s="20">
        <f t="shared" si="9"/>
        <v>14</v>
      </c>
    </row>
  </sheetData>
  <pageMargins left="0.70866141732283472" right="0.70866141732283472" top="0.55118110236220474" bottom="0.55118110236220474" header="0.31496062992125984" footer="0.31496062992125984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1AE0-6406-4245-9C03-52E9AD901033}">
  <dimension ref="A1:R83"/>
  <sheetViews>
    <sheetView tabSelected="1" topLeftCell="A59" workbookViewId="0">
      <selection activeCell="U64" sqref="U64:U72"/>
    </sheetView>
  </sheetViews>
  <sheetFormatPr defaultRowHeight="14.4" x14ac:dyDescent="0.3"/>
  <cols>
    <col min="1" max="1" width="16.5546875" style="42" bestFit="1" customWidth="1"/>
    <col min="2" max="2" width="7.6640625" style="42" customWidth="1"/>
    <col min="3" max="16" width="7.6640625" style="20" customWidth="1"/>
    <col min="17" max="17" width="10.109375" style="60" bestFit="1" customWidth="1"/>
    <col min="18" max="18" width="7.6640625" style="20" customWidth="1"/>
    <col min="19" max="16384" width="8.88671875" style="20"/>
  </cols>
  <sheetData>
    <row r="1" spans="1:18" x14ac:dyDescent="0.3">
      <c r="A1" s="50" t="s">
        <v>94</v>
      </c>
      <c r="B1" s="51"/>
      <c r="C1" s="52" t="s">
        <v>95</v>
      </c>
      <c r="D1" s="52" t="s">
        <v>96</v>
      </c>
      <c r="E1" s="52" t="s">
        <v>97</v>
      </c>
      <c r="F1" s="52" t="s">
        <v>98</v>
      </c>
      <c r="G1" s="52" t="s">
        <v>99</v>
      </c>
      <c r="H1" s="52" t="s">
        <v>100</v>
      </c>
      <c r="I1" s="52" t="s">
        <v>101</v>
      </c>
      <c r="J1" s="52" t="s">
        <v>102</v>
      </c>
      <c r="K1" s="52" t="s">
        <v>103</v>
      </c>
      <c r="L1" s="52" t="s">
        <v>104</v>
      </c>
      <c r="M1" s="52" t="s">
        <v>105</v>
      </c>
      <c r="N1" s="52" t="s">
        <v>106</v>
      </c>
      <c r="O1" s="52" t="s">
        <v>107</v>
      </c>
      <c r="P1" s="53" t="s">
        <v>108</v>
      </c>
      <c r="Q1" s="57" t="s">
        <v>112</v>
      </c>
      <c r="R1" s="53" t="s">
        <v>113</v>
      </c>
    </row>
    <row r="2" spans="1:18" x14ac:dyDescent="0.3">
      <c r="A2" s="54" t="s">
        <v>79</v>
      </c>
      <c r="B2" s="55" t="s">
        <v>111</v>
      </c>
      <c r="C2" s="56" cm="1">
        <f t="array" ref="C2">_xlfn.IFS(C3="BYE",3,C3="",0,C3&gt;C4,3,C3=C4,2,C3&lt;C4,1,C3=WOF,3,C3=LOF,0)</f>
        <v>3</v>
      </c>
      <c r="D2" s="56" cm="1">
        <f t="array" ref="D2">_xlfn.IFS(D3="BYE",3,D3="",0,D3&gt;D4,3,D3=D4,2,D3&lt;D4,1,D3=WOF,3,D3=LOF,0)</f>
        <v>3</v>
      </c>
      <c r="E2" s="56" cm="1">
        <f t="array" ref="E2">_xlfn.IFS(E3="BYE",3,E3="",0,E3&gt;E4,3,E3=E4,2,E3&lt;E4,1,E3=WOF,3,E3=LOF,0)</f>
        <v>0</v>
      </c>
      <c r="F2" s="56" cm="1">
        <f t="array" ref="F2">_xlfn.IFS(F3="BYE",3,F3="",0,F3&gt;F4,3,F3=F4,2,F3&lt;F4,1,F3=WOF,3,F3=LOF,0)</f>
        <v>0</v>
      </c>
      <c r="G2" s="56" cm="1">
        <f t="array" ref="G2">_xlfn.IFS(G3="BYE",3,G3="",0,G3&gt;G4,3,G3=G4,2,G3&lt;G4,1,G3=WOF,3,G3=LOF,0)</f>
        <v>0</v>
      </c>
      <c r="H2" s="56" cm="1">
        <f t="array" ref="H2">_xlfn.IFS(H3="BYE",3,H3="",0,H3&gt;H4,3,H3=H4,2,H3&lt;H4,1,H3=WOF,3,H3=LOF,0)</f>
        <v>0</v>
      </c>
      <c r="I2" s="56" cm="1">
        <f t="array" ref="I2">_xlfn.IFS(I3="BYE",3,I3="",0,I3&gt;I4,3,I3=I4,2,I3&lt;I4,1,I3=WOF,3,I3=LOF,0)</f>
        <v>0</v>
      </c>
      <c r="J2" s="56" cm="1">
        <f t="array" ref="J2">_xlfn.IFS(J3="BYE",3,J3="",0,J3&gt;J4,3,J3=J4,2,J3&lt;J4,1,J3=WOF,3,J3=LOF,0)</f>
        <v>0</v>
      </c>
      <c r="K2" s="56" cm="1">
        <f t="array" ref="K2">_xlfn.IFS(K3="BYE",3,K3="",0,K3&gt;K4,3,K3=K4,2,K3&lt;K4,1,K3=WOF,3,K3=LOF,0)</f>
        <v>0</v>
      </c>
      <c r="L2" s="56" cm="1">
        <f t="array" ref="L2">_xlfn.IFS(L3="BYE",3,L3="",0,L3&gt;L4,3,L3=L4,2,L3&lt;L4,1,L3=WOF,3,L3=LOF,0)</f>
        <v>0</v>
      </c>
      <c r="M2" s="56" cm="1">
        <f t="array" ref="M2">_xlfn.IFS(M3="BYE",3,M3="",0,M3&gt;M4,3,M3=M4,2,M3&lt;M4,1,M3=WOF,3,M3=LOF,0)</f>
        <v>0</v>
      </c>
      <c r="N2" s="56" cm="1">
        <f t="array" ref="N2">_xlfn.IFS(N3="BYE",3,N3="",0,N3&gt;N4,3,N3=N4,2,N3&lt;N4,1,N3=WOF,3,N3=LOF,0)</f>
        <v>0</v>
      </c>
      <c r="O2" s="56" cm="1">
        <f t="array" ref="O2">_xlfn.IFS(O3="BYE",3,O3="",0,O3&gt;O4,3,O3=O4,2,O3&lt;O4,1,O3=WOF,3,O3=LOF,0)</f>
        <v>0</v>
      </c>
      <c r="P2" s="56" cm="1">
        <f t="array" ref="P2">_xlfn.IFS(P3="BYE",3,P3="",0,P3&gt;P4,3,P3=P4,2,P3&lt;P4,1,P3=WOF,3,P3=LOF,0)</f>
        <v>0</v>
      </c>
      <c r="Q2" s="58"/>
      <c r="R2" s="56">
        <f>SUM(C2:P2)-Q2</f>
        <v>6</v>
      </c>
    </row>
    <row r="3" spans="1:18" x14ac:dyDescent="0.3">
      <c r="A3" s="44"/>
      <c r="B3" s="49" t="s">
        <v>109</v>
      </c>
      <c r="C3" s="16">
        <v>95</v>
      </c>
      <c r="D3" s="16" t="s">
        <v>115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59" t="s">
        <v>114</v>
      </c>
      <c r="R3" s="16">
        <f>SUM(C3:P3)</f>
        <v>95</v>
      </c>
    </row>
    <row r="4" spans="1:18" x14ac:dyDescent="0.3">
      <c r="A4" s="45"/>
      <c r="B4" s="48" t="s">
        <v>110</v>
      </c>
      <c r="C4" s="16">
        <v>20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59">
        <f>R3/R4</f>
        <v>4.75</v>
      </c>
      <c r="R4" s="16">
        <f>SUM(C4:P4)</f>
        <v>20</v>
      </c>
    </row>
    <row r="5" spans="1:18" x14ac:dyDescent="0.3">
      <c r="A5" s="54" t="s">
        <v>80</v>
      </c>
      <c r="B5" s="55" t="s">
        <v>111</v>
      </c>
      <c r="C5" s="56" cm="1">
        <f t="array" ref="C5">_xlfn.IFS(C6="BYE",3,C6="",0,C6&gt;C7,3,C6=C7,2,C6&lt;C7,1,C6=WOF,3,C6=LOF,0)</f>
        <v>1</v>
      </c>
      <c r="D5" s="56" cm="1">
        <f t="array" ref="D5">_xlfn.IFS(D6="BYE",3,D6="",0,D6&gt;D7,3,D6=D7,2,D6&lt;D7,1,D6=WOF,3,D6=LOF,0)</f>
        <v>0</v>
      </c>
      <c r="E5" s="56" cm="1">
        <f t="array" ref="E5">_xlfn.IFS(E6="BYE",3,E6="",0,E6&gt;E7,3,E6=E7,2,E6&lt;E7,1,E6=WOF,3,E6=LOF,0)</f>
        <v>3</v>
      </c>
      <c r="F5" s="56" cm="1">
        <f t="array" ref="F5">_xlfn.IFS(F6="BYE",3,F6="",0,F6&gt;F7,3,F6=F7,2,F6&lt;F7,1,F6=WOF,3,F6=LOF,0)</f>
        <v>0</v>
      </c>
      <c r="G5" s="56" cm="1">
        <f t="array" ref="G5">_xlfn.IFS(G6="BYE",3,G6="",0,G6&gt;G7,3,G6=G7,2,G6&lt;G7,1,G6=WOF,3,G6=LOF,0)</f>
        <v>0</v>
      </c>
      <c r="H5" s="56" cm="1">
        <f t="array" ref="H5">_xlfn.IFS(H6="BYE",3,H6="",0,H6&gt;H7,3,H6=H7,2,H6&lt;H7,1,H6=WOF,3,H6=LOF,0)</f>
        <v>0</v>
      </c>
      <c r="I5" s="56" cm="1">
        <f t="array" ref="I5">_xlfn.IFS(I6="BYE",3,I6="",0,I6&gt;I7,3,I6=I7,2,I6&lt;I7,1,I6=WOF,3,I6=LOF,0)</f>
        <v>0</v>
      </c>
      <c r="J5" s="56" cm="1">
        <f t="array" ref="J5">_xlfn.IFS(J6="BYE",3,J6="",0,J6&gt;J7,3,J6=J7,2,J6&lt;J7,1,J6=WOF,3,J6=LOF,0)</f>
        <v>0</v>
      </c>
      <c r="K5" s="56" cm="1">
        <f t="array" ref="K5">_xlfn.IFS(K6="BYE",3,K6="",0,K6&gt;K7,3,K6=K7,2,K6&lt;K7,1,K6=WOF,3,K6=LOF,0)</f>
        <v>0</v>
      </c>
      <c r="L5" s="56" cm="1">
        <f t="array" ref="L5">_xlfn.IFS(L6="BYE",3,L6="",0,L6&gt;L7,3,L6=L7,2,L6&lt;L7,1,L6=WOF,3,L6=LOF,0)</f>
        <v>0</v>
      </c>
      <c r="M5" s="56" cm="1">
        <f t="array" ref="M5">_xlfn.IFS(M6="BYE",3,M6="",0,M6&gt;M7,3,M6=M7,2,M6&lt;M7,1,M6=WOF,3,M6=LOF,0)</f>
        <v>0</v>
      </c>
      <c r="N5" s="56" cm="1">
        <f t="array" ref="N5">_xlfn.IFS(N6="BYE",3,N6="",0,N6&gt;N7,3,N6=N7,2,N6&lt;N7,1,N6=WOF,3,N6=LOF,0)</f>
        <v>0</v>
      </c>
      <c r="O5" s="56" cm="1">
        <f t="array" ref="O5">_xlfn.IFS(O6="BYE",3,O6="",0,O6&gt;O7,3,O6=O7,2,O6&lt;O7,1,O6=WOF,3,O6=LOF,0)</f>
        <v>0</v>
      </c>
      <c r="P5" s="56" cm="1">
        <f t="array" ref="P5">_xlfn.IFS(P6="BYE",3,P6="",0,P6&gt;P7,3,P6=P7,2,P6&lt;P7,1,P6=WOF,3,P6=LOF,0)</f>
        <v>0</v>
      </c>
      <c r="Q5" s="58"/>
      <c r="R5" s="56">
        <f>SUM(C5:P5)-Q5</f>
        <v>4</v>
      </c>
    </row>
    <row r="6" spans="1:18" x14ac:dyDescent="0.3">
      <c r="A6" s="46"/>
      <c r="B6" s="49" t="s">
        <v>109</v>
      </c>
      <c r="C6" s="16">
        <v>23</v>
      </c>
      <c r="D6" s="16"/>
      <c r="E6" s="16" t="s">
        <v>115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59" t="s">
        <v>114</v>
      </c>
      <c r="R6" s="16">
        <f>SUM(C6:P6)</f>
        <v>23</v>
      </c>
    </row>
    <row r="7" spans="1:18" x14ac:dyDescent="0.3">
      <c r="A7" s="44"/>
      <c r="B7" s="48" t="s">
        <v>110</v>
      </c>
      <c r="C7" s="16">
        <v>56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59">
        <f t="shared" ref="Q7" si="0">R6/R7</f>
        <v>0.4107142857142857</v>
      </c>
      <c r="R7" s="16">
        <f>SUM(C7:P7)</f>
        <v>56</v>
      </c>
    </row>
    <row r="8" spans="1:18" x14ac:dyDescent="0.3">
      <c r="A8" s="54" t="s">
        <v>81</v>
      </c>
      <c r="B8" s="55" t="s">
        <v>111</v>
      </c>
      <c r="C8" s="56" cm="1">
        <f t="array" ref="C8">_xlfn.IFS(C9="BYE",3,C9="",0,C9&gt;C10,3,C9=C10,2,C9&lt;C10,1,C9=WOF,3,C9=LOF,0)</f>
        <v>3</v>
      </c>
      <c r="D8" s="56" cm="1">
        <f t="array" ref="D8">_xlfn.IFS(D9="BYE",3,D9="",0,D9&gt;D10,3,D9=D10,2,D9&lt;D10,1,D9=WOF,3,D9=LOF,0)</f>
        <v>0</v>
      </c>
      <c r="E8" s="56" cm="1">
        <f t="array" ref="E8">_xlfn.IFS(E9="BYE",3,E9="",0,E9&gt;E10,3,E9=E10,2,E9&lt;E10,1,E9=WOF,3,E9=LOF,0)</f>
        <v>0</v>
      </c>
      <c r="F8" s="56" cm="1">
        <f t="array" ref="F8">_xlfn.IFS(F9="BYE",3,F9="",0,F9&gt;F10,3,F9=F10,2,F9&lt;F10,1,F9=WOF,3,F9=LOF,0)</f>
        <v>3</v>
      </c>
      <c r="G8" s="56" cm="1">
        <f t="array" ref="G8">_xlfn.IFS(G9="BYE",3,G9="",0,G9&gt;G10,3,G9=G10,2,G9&lt;G10,1,G9=WOF,3,G9=LOF,0)</f>
        <v>0</v>
      </c>
      <c r="H8" s="56" cm="1">
        <f t="array" ref="H8">_xlfn.IFS(H9="BYE",3,H9="",0,H9&gt;H10,3,H9=H10,2,H9&lt;H10,1,H9=WOF,3,H9=LOF,0)</f>
        <v>0</v>
      </c>
      <c r="I8" s="56" cm="1">
        <f t="array" ref="I8">_xlfn.IFS(I9="BYE",3,I9="",0,I9&gt;I10,3,I9=I10,2,I9&lt;I10,1,I9=WOF,3,I9=LOF,0)</f>
        <v>0</v>
      </c>
      <c r="J8" s="56" cm="1">
        <f t="array" ref="J8">_xlfn.IFS(J9="BYE",3,J9="",0,J9&gt;J10,3,J9=J10,2,J9&lt;J10,1,J9=WOF,3,J9=LOF,0)</f>
        <v>0</v>
      </c>
      <c r="K8" s="56" cm="1">
        <f t="array" ref="K8">_xlfn.IFS(K9="BYE",3,K9="",0,K9&gt;K10,3,K9=K10,2,K9&lt;K10,1,K9=WOF,3,K9=LOF,0)</f>
        <v>0</v>
      </c>
      <c r="L8" s="56" cm="1">
        <f t="array" ref="L8">_xlfn.IFS(L9="BYE",3,L9="",0,L9&gt;L10,3,L9=L10,2,L9&lt;L10,1,L9=WOF,3,L9=LOF,0)</f>
        <v>0</v>
      </c>
      <c r="M8" s="56" cm="1">
        <f t="array" ref="M8">_xlfn.IFS(M9="BYE",3,M9="",0,M9&gt;M10,3,M9=M10,2,M9&lt;M10,1,M9=WOF,3,M9=LOF,0)</f>
        <v>0</v>
      </c>
      <c r="N8" s="56" cm="1">
        <f t="array" ref="N8">_xlfn.IFS(N9="BYE",3,N9="",0,N9&gt;N10,3,N9=N10,2,N9&lt;N10,1,N9=WOF,3,N9=LOF,0)</f>
        <v>0</v>
      </c>
      <c r="O8" s="56" cm="1">
        <f t="array" ref="O8">_xlfn.IFS(O9="BYE",3,O9="",0,O9&gt;O10,3,O9=O10,2,O9&lt;O10,1,O9=WOF,3,O9=LOF,0)</f>
        <v>0</v>
      </c>
      <c r="P8" s="56" cm="1">
        <f t="array" ref="P8">_xlfn.IFS(P9="BYE",3,P9="",0,P9&gt;P10,3,P9=P10,2,P9&lt;P10,1,P9=WOF,3,P9=LOF,0)</f>
        <v>0</v>
      </c>
      <c r="Q8" s="58"/>
      <c r="R8" s="56">
        <f>SUM(C8:P8)-Q8</f>
        <v>6</v>
      </c>
    </row>
    <row r="9" spans="1:18" x14ac:dyDescent="0.3">
      <c r="A9" s="44"/>
      <c r="B9" s="49" t="s">
        <v>109</v>
      </c>
      <c r="C9" s="16">
        <v>60</v>
      </c>
      <c r="D9" s="16"/>
      <c r="E9" s="16"/>
      <c r="F9" s="16" t="s">
        <v>115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59" t="s">
        <v>114</v>
      </c>
      <c r="R9" s="16">
        <f>SUM(C9:P9)</f>
        <v>60</v>
      </c>
    </row>
    <row r="10" spans="1:18" x14ac:dyDescent="0.3">
      <c r="A10" s="45"/>
      <c r="B10" s="48" t="s">
        <v>110</v>
      </c>
      <c r="C10" s="16">
        <v>36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59">
        <f t="shared" ref="Q10" si="1">R9/R10</f>
        <v>1.6666666666666667</v>
      </c>
      <c r="R10" s="16">
        <f>SUM(C10:P10)</f>
        <v>36</v>
      </c>
    </row>
    <row r="11" spans="1:18" x14ac:dyDescent="0.3">
      <c r="A11" s="54" t="s">
        <v>55</v>
      </c>
      <c r="B11" s="55" t="s">
        <v>111</v>
      </c>
      <c r="C11" s="56" cm="1">
        <f t="array" ref="C11">_xlfn.IFS(C12="BYE",3,C12="",0,C12&gt;C13,3,C12=C13,2,C12&lt;C13,1,C12=WOF,3,C12=LOF,0)</f>
        <v>3</v>
      </c>
      <c r="D11" s="56" cm="1">
        <f t="array" ref="D11">_xlfn.IFS(D12="BYE",3,D12="",0,D12&gt;D13,3,D12=D13,2,D12&lt;D13,1,D12=WOF,3,D12=LOF,0)</f>
        <v>0</v>
      </c>
      <c r="E11" s="56" cm="1">
        <f t="array" ref="E11">_xlfn.IFS(E12="BYE",3,E12="",0,E12&gt;E13,3,E12=E13,2,E12&lt;E13,1,E12=WOF,3,E12=LOF,0)</f>
        <v>0</v>
      </c>
      <c r="F11" s="56" cm="1">
        <f t="array" ref="F11">_xlfn.IFS(F12="BYE",3,F12="",0,F12&gt;F13,3,F12=F13,2,F12&lt;F13,1,F12=WOF,3,F12=LOF,0)</f>
        <v>0</v>
      </c>
      <c r="G11" s="56" cm="1">
        <f t="array" ref="G11">_xlfn.IFS(G12="BYE",3,G12="",0,G12&gt;G13,3,G12=G13,2,G12&lt;G13,1,G12=WOF,3,G12=LOF,0)</f>
        <v>0</v>
      </c>
      <c r="H11" s="56" cm="1">
        <f t="array" ref="H11">_xlfn.IFS(H12="BYE",3,H12="",0,H12&gt;H13,3,H12=H13,2,H12&lt;H13,1,H12=WOF,3,H12=LOF,0)</f>
        <v>0</v>
      </c>
      <c r="I11" s="56" cm="1">
        <f t="array" ref="I11">_xlfn.IFS(I12="BYE",3,I12="",0,I12&gt;I13,3,I12=I13,2,I12&lt;I13,1,I12=WOF,3,I12=LOF,0)</f>
        <v>0</v>
      </c>
      <c r="J11" s="56" cm="1">
        <f t="array" ref="J11">_xlfn.IFS(J12="BYE",3,J12="",0,J12&gt;J13,3,J12=J13,2,J12&lt;J13,1,J12=WOF,3,J12=LOF,0)</f>
        <v>3</v>
      </c>
      <c r="K11" s="56" cm="1">
        <f t="array" ref="K11">_xlfn.IFS(K12="BYE",3,K12="",0,K12&gt;K13,3,K12=K13,2,K12&lt;K13,1,K12=WOF,3,K12=LOF,0)</f>
        <v>0</v>
      </c>
      <c r="L11" s="56" cm="1">
        <f t="array" ref="L11">_xlfn.IFS(L12="BYE",3,L12="",0,L12&gt;L13,3,L12=L13,2,L12&lt;L13,1,L12=WOF,3,L12=LOF,0)</f>
        <v>0</v>
      </c>
      <c r="M11" s="56" cm="1">
        <f t="array" ref="M11">_xlfn.IFS(M12="BYE",3,M12="",0,M12&gt;M13,3,M12=M13,2,M12&lt;M13,1,M12=WOF,3,M12=LOF,0)</f>
        <v>0</v>
      </c>
      <c r="N11" s="56" cm="1">
        <f t="array" ref="N11">_xlfn.IFS(N12="BYE",3,N12="",0,N12&gt;N13,3,N12=N13,2,N12&lt;N13,1,N12=WOF,3,N12=LOF,0)</f>
        <v>0</v>
      </c>
      <c r="O11" s="56" cm="1">
        <f t="array" ref="O11">_xlfn.IFS(O12="BYE",3,O12="",0,O12&gt;O13,3,O12=O13,2,O12&lt;O13,1,O12=WOF,3,O12=LOF,0)</f>
        <v>0</v>
      </c>
      <c r="P11" s="56" cm="1">
        <f t="array" ref="P11">_xlfn.IFS(P12="BYE",3,P12="",0,P12&gt;P13,3,P12=P13,2,P12&lt;P13,1,P12=WOF,3,P12=LOF,0)</f>
        <v>0</v>
      </c>
      <c r="Q11" s="58"/>
      <c r="R11" s="56">
        <f>SUM(C11:P11)-Q11</f>
        <v>6</v>
      </c>
    </row>
    <row r="12" spans="1:18" x14ac:dyDescent="0.3">
      <c r="A12" s="46"/>
      <c r="B12" s="49" t="s">
        <v>109</v>
      </c>
      <c r="C12" s="16">
        <v>71</v>
      </c>
      <c r="D12" s="16"/>
      <c r="E12" s="16"/>
      <c r="F12" s="16"/>
      <c r="G12" s="16"/>
      <c r="H12" s="16"/>
      <c r="I12" s="16"/>
      <c r="J12" s="16" t="s">
        <v>115</v>
      </c>
      <c r="K12" s="16"/>
      <c r="L12" s="16"/>
      <c r="M12" s="16"/>
      <c r="N12" s="16"/>
      <c r="O12" s="16"/>
      <c r="P12" s="16"/>
      <c r="Q12" s="59" t="s">
        <v>114</v>
      </c>
      <c r="R12" s="16">
        <f>SUM(C12:P12)</f>
        <v>71</v>
      </c>
    </row>
    <row r="13" spans="1:18" x14ac:dyDescent="0.3">
      <c r="A13" s="44"/>
      <c r="B13" s="48" t="s">
        <v>110</v>
      </c>
      <c r="C13" s="16">
        <v>21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59">
        <f t="shared" ref="Q13" si="2">R12/R13</f>
        <v>3.3809523809523809</v>
      </c>
      <c r="R13" s="16">
        <f>SUM(C13:P13)</f>
        <v>21</v>
      </c>
    </row>
    <row r="14" spans="1:18" x14ac:dyDescent="0.3">
      <c r="A14" s="54" t="s">
        <v>54</v>
      </c>
      <c r="B14" s="55" t="s">
        <v>111</v>
      </c>
      <c r="C14" s="56" cm="1">
        <f t="array" ref="C14">_xlfn.IFS(C15="BYE",3,C15="",0,C15&gt;C16,3,C15=C16,2,C15&lt;C16,1,C15=WOF,3,C15=LOF,0)</f>
        <v>3</v>
      </c>
      <c r="D14" s="56" cm="1">
        <f t="array" ref="D14">_xlfn.IFS(D15="BYE",3,D15="",0,D15&gt;D16,3,D15=D16,2,D15&lt;D16,1,D15=WOF,3,D15=LOF,0)</f>
        <v>0</v>
      </c>
      <c r="E14" s="56" cm="1">
        <f t="array" ref="E14">_xlfn.IFS(E15="BYE",3,E15="",0,E15&gt;E16,3,E15=E16,2,E15&lt;E16,1,E15=WOF,3,E15=LOF,0)</f>
        <v>0</v>
      </c>
      <c r="F14" s="56" cm="1">
        <f t="array" ref="F14">_xlfn.IFS(F15="BYE",3,F15="",0,F15&gt;F16,3,F15=F16,2,F15&lt;F16,1,F15=WOF,3,F15=LOF,0)</f>
        <v>0</v>
      </c>
      <c r="G14" s="56" cm="1">
        <f t="array" ref="G14">_xlfn.IFS(G15="BYE",3,G15="",0,G15&gt;G16,3,G15=G16,2,G15&lt;G16,1,G15=WOF,3,G15=LOF,0)</f>
        <v>0</v>
      </c>
      <c r="H14" s="56" cm="1">
        <f t="array" ref="H14">_xlfn.IFS(H15="BYE",3,H15="",0,H15&gt;H16,3,H15=H16,2,H15&lt;H16,1,H15=WOF,3,H15=LOF,0)</f>
        <v>0</v>
      </c>
      <c r="I14" s="56" cm="1">
        <f t="array" ref="I14">_xlfn.IFS(I15="BYE",3,I15="",0,I15&gt;I16,3,I15=I16,2,I15&lt;I16,1,I15=WOF,3,I15=LOF,0)</f>
        <v>0</v>
      </c>
      <c r="J14" s="56" cm="1">
        <f t="array" ref="J14">_xlfn.IFS(J15="BYE",3,J15="",0,J15&gt;J16,3,J15=J16,2,J15&lt;J16,1,J15=WOF,3,J15=LOF,0)</f>
        <v>0</v>
      </c>
      <c r="K14" s="56" cm="1">
        <f t="array" ref="K14">_xlfn.IFS(K15="BYE",3,K15="",0,K15&gt;K16,3,K15=K16,2,K15&lt;K16,1,K15=WOF,3,K15=LOF,0)</f>
        <v>0</v>
      </c>
      <c r="L14" s="56" cm="1">
        <f t="array" ref="L14">_xlfn.IFS(L15="BYE",3,L15="",0,L15&gt;L16,3,L15=L16,2,L15&lt;L16,1,L15=WOF,3,L15=LOF,0)</f>
        <v>0</v>
      </c>
      <c r="M14" s="56" cm="1">
        <f t="array" ref="M14">_xlfn.IFS(M15="BYE",3,M15="",0,M15&gt;M16,3,M15=M16,2,M15&lt;M16,1,M15=WOF,3,M15=LOF,0)</f>
        <v>0</v>
      </c>
      <c r="N14" s="56" cm="1">
        <f t="array" ref="N14">_xlfn.IFS(N15="BYE",3,N15="",0,N15&gt;N16,3,N15=N16,2,N15&lt;N16,1,N15=WOF,3,N15=LOF,0)</f>
        <v>0</v>
      </c>
      <c r="O14" s="56" cm="1">
        <f t="array" ref="O14">_xlfn.IFS(O15="BYE",3,O15="",0,O15&gt;O16,3,O15=O16,2,O15&lt;O16,1,O15=WOF,3,O15=LOF,0)</f>
        <v>0</v>
      </c>
      <c r="P14" s="56" cm="1">
        <f t="array" ref="P14">_xlfn.IFS(P15="BYE",3,P15="",0,P15&gt;P16,3,P15=P16,2,P15&lt;P16,1,P15=WOF,3,P15=LOF,0)</f>
        <v>0</v>
      </c>
      <c r="Q14" s="58"/>
      <c r="R14" s="56">
        <f>SUM(C14:P14)-Q14</f>
        <v>3</v>
      </c>
    </row>
    <row r="15" spans="1:18" x14ac:dyDescent="0.3">
      <c r="A15" s="44"/>
      <c r="B15" s="49" t="s">
        <v>109</v>
      </c>
      <c r="C15" s="16" t="s">
        <v>115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59" t="s">
        <v>114</v>
      </c>
      <c r="R15" s="16">
        <f>SUM(C15:P15)</f>
        <v>0</v>
      </c>
    </row>
    <row r="16" spans="1:18" x14ac:dyDescent="0.3">
      <c r="A16" s="47"/>
      <c r="B16" s="48" t="s">
        <v>110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59" t="e">
        <f t="shared" ref="Q16" si="3">R15/R16</f>
        <v>#DIV/0!</v>
      </c>
      <c r="R16" s="16">
        <f>SUM(C16:P16)</f>
        <v>0</v>
      </c>
    </row>
    <row r="17" spans="1:18" x14ac:dyDescent="0.3">
      <c r="A17" s="54" t="s">
        <v>82</v>
      </c>
      <c r="B17" s="55" t="s">
        <v>111</v>
      </c>
      <c r="C17" s="56" cm="1">
        <f t="array" ref="C17">_xlfn.IFS(C18="BYE",3,C18="",0,C18&gt;C19,3,C18=C19,2,C18&lt;C19,1,C18=WOF,3,C18=LOF,0)</f>
        <v>1</v>
      </c>
      <c r="D17" s="56" cm="1">
        <f t="array" ref="D17">_xlfn.IFS(D18="BYE",3,D18="",0,D18&gt;D19,3,D18=D19,2,D18&lt;D19,1,D18=WOF,3,D18=LOF,0)</f>
        <v>0</v>
      </c>
      <c r="E17" s="56" cm="1">
        <f t="array" ref="E17">_xlfn.IFS(E18="BYE",3,E18="",0,E18&gt;E19,3,E18=E19,2,E18&lt;E19,1,E18=WOF,3,E18=LOF,0)</f>
        <v>0</v>
      </c>
      <c r="F17" s="56" cm="1">
        <f t="array" ref="F17">_xlfn.IFS(F18="BYE",3,F18="",0,F18&gt;F19,3,F18=F19,2,F18&lt;F19,1,F18=WOF,3,F18=LOF,0)</f>
        <v>0</v>
      </c>
      <c r="G17" s="56" cm="1">
        <f t="array" ref="G17">_xlfn.IFS(G18="BYE",3,G18="",0,G18&gt;G19,3,G18=G19,2,G18&lt;G19,1,G18=WOF,3,G18=LOF,0)</f>
        <v>3</v>
      </c>
      <c r="H17" s="56" cm="1">
        <f t="array" ref="H17">_xlfn.IFS(H18="BYE",3,H18="",0,H18&gt;H19,3,H18=H19,2,H18&lt;H19,1,H18=WOF,3,H18=LOF,0)</f>
        <v>0</v>
      </c>
      <c r="I17" s="56" cm="1">
        <f t="array" ref="I17">_xlfn.IFS(I18="BYE",3,I18="",0,I18&gt;I19,3,I18=I19,2,I18&lt;I19,1,I18=WOF,3,I18=LOF,0)</f>
        <v>0</v>
      </c>
      <c r="J17" s="56" cm="1">
        <f t="array" ref="J17">_xlfn.IFS(J18="BYE",3,J18="",0,J18&gt;J19,3,J18=J19,2,J18&lt;J19,1,J18=WOF,3,J18=LOF,0)</f>
        <v>0</v>
      </c>
      <c r="K17" s="56" cm="1">
        <f t="array" ref="K17">_xlfn.IFS(K18="BYE",3,K18="",0,K18&gt;K19,3,K18=K19,2,K18&lt;K19,1,K18=WOF,3,K18=LOF,0)</f>
        <v>0</v>
      </c>
      <c r="L17" s="56" cm="1">
        <f t="array" ref="L17">_xlfn.IFS(L18="BYE",3,L18="",0,L18&gt;L19,3,L18=L19,2,L18&lt;L19,1,L18=WOF,3,L18=LOF,0)</f>
        <v>0</v>
      </c>
      <c r="M17" s="56" cm="1">
        <f t="array" ref="M17">_xlfn.IFS(M18="BYE",3,M18="",0,M18&gt;M19,3,M18=M19,2,M18&lt;M19,1,M18=WOF,3,M18=LOF,0)</f>
        <v>0</v>
      </c>
      <c r="N17" s="56" cm="1">
        <f t="array" ref="N17">_xlfn.IFS(N18="BYE",3,N18="",0,N18&gt;N19,3,N18=N19,2,N18&lt;N19,1,N18=WOF,3,N18=LOF,0)</f>
        <v>0</v>
      </c>
      <c r="O17" s="56" cm="1">
        <f t="array" ref="O17">_xlfn.IFS(O18="BYE",3,O18="",0,O18&gt;O19,3,O18=O19,2,O18&lt;O19,1,O18=WOF,3,O18=LOF,0)</f>
        <v>0</v>
      </c>
      <c r="P17" s="56" cm="1">
        <f t="array" ref="P17">_xlfn.IFS(P18="BYE",3,P18="",0,P18&gt;P19,3,P18=P19,2,P18&lt;P19,1,P18=WOF,3,P18=LOF,0)</f>
        <v>0</v>
      </c>
      <c r="Q17" s="58"/>
      <c r="R17" s="56">
        <f>SUM(C17:P17)-Q17</f>
        <v>4</v>
      </c>
    </row>
    <row r="18" spans="1:18" x14ac:dyDescent="0.3">
      <c r="A18" s="44"/>
      <c r="B18" s="49" t="s">
        <v>109</v>
      </c>
      <c r="C18" s="16">
        <v>20</v>
      </c>
      <c r="D18" s="16"/>
      <c r="E18" s="16"/>
      <c r="F18" s="16"/>
      <c r="G18" s="16" t="s">
        <v>115</v>
      </c>
      <c r="H18" s="16"/>
      <c r="I18" s="16"/>
      <c r="J18" s="16"/>
      <c r="K18" s="16"/>
      <c r="L18" s="16"/>
      <c r="M18" s="16"/>
      <c r="N18" s="16"/>
      <c r="O18" s="16"/>
      <c r="P18" s="16"/>
      <c r="Q18" s="59" t="s">
        <v>114</v>
      </c>
      <c r="R18" s="16">
        <f>SUM(C18:P18)</f>
        <v>20</v>
      </c>
    </row>
    <row r="19" spans="1:18" x14ac:dyDescent="0.3">
      <c r="A19" s="46"/>
      <c r="B19" s="48" t="s">
        <v>110</v>
      </c>
      <c r="C19" s="16">
        <v>95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59">
        <f t="shared" ref="Q19" si="4">R18/R19</f>
        <v>0.21052631578947367</v>
      </c>
      <c r="R19" s="16">
        <f>SUM(C19:P19)</f>
        <v>95</v>
      </c>
    </row>
    <row r="20" spans="1:18" x14ac:dyDescent="0.3">
      <c r="A20" s="54" t="s">
        <v>83</v>
      </c>
      <c r="B20" s="55" t="s">
        <v>111</v>
      </c>
      <c r="C20" s="56" cm="1">
        <f t="array" ref="C20">_xlfn.IFS(C21="BYE",3,C21="",0,C21&gt;C22,3,C21=C22,2,C21&lt;C22,1,C21=WOF,3,C21=LOF,0)</f>
        <v>3</v>
      </c>
      <c r="D20" s="56" cm="1">
        <f t="array" ref="D20">_xlfn.IFS(D21="BYE",3,D21="",0,D21&gt;D22,3,D21=D22,2,D21&lt;D22,1,D21=WOF,3,D21=LOF,0)</f>
        <v>0</v>
      </c>
      <c r="E20" s="56" cm="1">
        <f t="array" ref="E20">_xlfn.IFS(E21="BYE",3,E21="",0,E21&gt;E22,3,E21=E22,2,E21&lt;E22,1,E21=WOF,3,E21=LOF,0)</f>
        <v>0</v>
      </c>
      <c r="F20" s="56" cm="1">
        <f t="array" ref="F20">_xlfn.IFS(F21="BYE",3,F21="",0,F21&gt;F22,3,F21=F22,2,F21&lt;F22,1,F21=WOF,3,F21=LOF,0)</f>
        <v>0</v>
      </c>
      <c r="G20" s="56" cm="1">
        <f t="array" ref="G20">_xlfn.IFS(G21="BYE",3,G21="",0,G21&gt;G22,3,G21=G22,2,G21&lt;G22,1,G21=WOF,3,G21=LOF,0)</f>
        <v>0</v>
      </c>
      <c r="H20" s="56" cm="1">
        <f t="array" ref="H20">_xlfn.IFS(H21="BYE",3,H21="",0,H21&gt;H22,3,H21=H22,2,H21&lt;H22,1,H21=WOF,3,H21=LOF,0)</f>
        <v>3</v>
      </c>
      <c r="I20" s="56" cm="1">
        <f t="array" ref="I20">_xlfn.IFS(I21="BYE",3,I21="",0,I21&gt;I22,3,I21=I22,2,I21&lt;I22,1,I21=WOF,3,I21=LOF,0)</f>
        <v>0</v>
      </c>
      <c r="J20" s="56" cm="1">
        <f t="array" ref="J20">_xlfn.IFS(J21="BYE",3,J21="",0,J21&gt;J22,3,J21=J22,2,J21&lt;J22,1,J21=WOF,3,J21=LOF,0)</f>
        <v>0</v>
      </c>
      <c r="K20" s="56" cm="1">
        <f t="array" ref="K20">_xlfn.IFS(K21="BYE",3,K21="",0,K21&gt;K22,3,K21=K22,2,K21&lt;K22,1,K21=WOF,3,K21=LOF,0)</f>
        <v>0</v>
      </c>
      <c r="L20" s="56" cm="1">
        <f t="array" ref="L20">_xlfn.IFS(L21="BYE",3,L21="",0,L21&gt;L22,3,L21=L22,2,L21&lt;L22,1,L21=WOF,3,L21=LOF,0)</f>
        <v>0</v>
      </c>
      <c r="M20" s="56" cm="1">
        <f t="array" ref="M20">_xlfn.IFS(M21="BYE",3,M21="",0,M21&gt;M22,3,M21=M22,2,M21&lt;M22,1,M21=WOF,3,M21=LOF,0)</f>
        <v>0</v>
      </c>
      <c r="N20" s="56" cm="1">
        <f t="array" ref="N20">_xlfn.IFS(N21="BYE",3,N21="",0,N21&gt;N22,3,N21=N22,2,N21&lt;N22,1,N21=WOF,3,N21=LOF,0)</f>
        <v>0</v>
      </c>
      <c r="O20" s="56" cm="1">
        <f t="array" ref="O20">_xlfn.IFS(O21="BYE",3,O21="",0,O21&gt;O22,3,O21=O22,2,O21&lt;O22,1,O21=WOF,3,O21=LOF,0)</f>
        <v>0</v>
      </c>
      <c r="P20" s="56" cm="1">
        <f t="array" ref="P20">_xlfn.IFS(P21="BYE",3,P21="",0,P21&gt;P22,3,P21=P22,2,P21&lt;P22,1,P21=WOF,3,P21=LOF,0)</f>
        <v>0</v>
      </c>
      <c r="Q20" s="58"/>
      <c r="R20" s="56">
        <f>SUM(C20:P20)-Q20</f>
        <v>6</v>
      </c>
    </row>
    <row r="21" spans="1:18" x14ac:dyDescent="0.3">
      <c r="A21" s="46"/>
      <c r="B21" s="49" t="s">
        <v>109</v>
      </c>
      <c r="C21" s="16">
        <v>56</v>
      </c>
      <c r="D21" s="16"/>
      <c r="E21" s="16"/>
      <c r="F21" s="16"/>
      <c r="G21" s="16"/>
      <c r="H21" s="16" t="s">
        <v>115</v>
      </c>
      <c r="I21" s="16"/>
      <c r="J21" s="16"/>
      <c r="K21" s="16"/>
      <c r="L21" s="16"/>
      <c r="M21" s="16"/>
      <c r="N21" s="16"/>
      <c r="O21" s="16"/>
      <c r="P21" s="16"/>
      <c r="Q21" s="59" t="s">
        <v>114</v>
      </c>
      <c r="R21" s="16">
        <f>SUM(C21:P21)</f>
        <v>56</v>
      </c>
    </row>
    <row r="22" spans="1:18" x14ac:dyDescent="0.3">
      <c r="A22" s="47"/>
      <c r="B22" s="48" t="s">
        <v>110</v>
      </c>
      <c r="C22" s="16">
        <v>23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59">
        <f t="shared" ref="Q22" si="5">R21/R22</f>
        <v>2.4347826086956523</v>
      </c>
      <c r="R22" s="16">
        <f>SUM(C22:P22)</f>
        <v>23</v>
      </c>
    </row>
    <row r="23" spans="1:18" x14ac:dyDescent="0.3">
      <c r="A23" s="54" t="s">
        <v>84</v>
      </c>
      <c r="B23" s="55" t="s">
        <v>111</v>
      </c>
      <c r="C23" s="56" cm="1">
        <f t="array" ref="C23">_xlfn.IFS(C24="BYE",3,C24="",0,C24&gt;C25,3,C24=C25,2,C24&lt;C25,1,C24=WOF,3,C24=LOF,0)</f>
        <v>1</v>
      </c>
      <c r="D23" s="56" cm="1">
        <f t="array" ref="D23">_xlfn.IFS(D24="BYE",3,D24="",0,D24&gt;D25,3,D24=D25,2,D24&lt;D25,1,D24=WOF,3,D24=LOF,0)</f>
        <v>0</v>
      </c>
      <c r="E23" s="56" cm="1">
        <f t="array" ref="E23">_xlfn.IFS(E24="BYE",3,E24="",0,E24&gt;E25,3,E24=E25,2,E24&lt;E25,1,E24=WOF,3,E24=LOF,0)</f>
        <v>0</v>
      </c>
      <c r="F23" s="56" cm="1">
        <f t="array" ref="F23">_xlfn.IFS(F24="BYE",3,F24="",0,F24&gt;F25,3,F24=F25,2,F24&lt;F25,1,F24=WOF,3,F24=LOF,0)</f>
        <v>0</v>
      </c>
      <c r="G23" s="56" cm="1">
        <f t="array" ref="G23">_xlfn.IFS(G24="BYE",3,G24="",0,G24&gt;G25,3,G24=G25,2,G24&lt;G25,1,G24=WOF,3,G24=LOF,0)</f>
        <v>0</v>
      </c>
      <c r="H23" s="56" cm="1">
        <f t="array" ref="H23">_xlfn.IFS(H24="BYE",3,H24="",0,H24&gt;H25,3,H24=H25,2,H24&lt;H25,1,H24=WOF,3,H24=LOF,0)</f>
        <v>0</v>
      </c>
      <c r="I23" s="56" cm="1">
        <f t="array" ref="I23">_xlfn.IFS(I24="BYE",3,I24="",0,I24&gt;I25,3,I24=I25,2,I24&lt;I25,1,I24=WOF,3,I24=LOF,0)</f>
        <v>3</v>
      </c>
      <c r="J23" s="56" cm="1">
        <f t="array" ref="J23">_xlfn.IFS(J24="BYE",3,J24="",0,J24&gt;J25,3,J24=J25,2,J24&lt;J25,1,J24=WOF,3,J24=LOF,0)</f>
        <v>0</v>
      </c>
      <c r="K23" s="56" cm="1">
        <f t="array" ref="K23">_xlfn.IFS(K24="BYE",3,K24="",0,K24&gt;K25,3,K24=K25,2,K24&lt;K25,1,K24=WOF,3,K24=LOF,0)</f>
        <v>0</v>
      </c>
      <c r="L23" s="56" cm="1">
        <f t="array" ref="L23">_xlfn.IFS(L24="BYE",3,L24="",0,L24&gt;L25,3,L24=L25,2,L24&lt;L25,1,L24=WOF,3,L24=LOF,0)</f>
        <v>0</v>
      </c>
      <c r="M23" s="56" cm="1">
        <f t="array" ref="M23">_xlfn.IFS(M24="BYE",3,M24="",0,M24&gt;M25,3,M24=M25,2,M24&lt;M25,1,M24=WOF,3,M24=LOF,0)</f>
        <v>0</v>
      </c>
      <c r="N23" s="56" cm="1">
        <f t="array" ref="N23">_xlfn.IFS(N24="BYE",3,N24="",0,N24&gt;N25,3,N24=N25,2,N24&lt;N25,1,N24=WOF,3,N24=LOF,0)</f>
        <v>0</v>
      </c>
      <c r="O23" s="56" cm="1">
        <f t="array" ref="O23">_xlfn.IFS(O24="BYE",3,O24="",0,O24&gt;O25,3,O24=O25,2,O24&lt;O25,1,O24=WOF,3,O24=LOF,0)</f>
        <v>0</v>
      </c>
      <c r="P23" s="56" cm="1">
        <f t="array" ref="P23">_xlfn.IFS(P24="BYE",3,P24="",0,P24&gt;P25,3,P24=P25,2,P24&lt;P25,1,P24=WOF,3,P24=LOF,0)</f>
        <v>0</v>
      </c>
      <c r="Q23" s="58"/>
      <c r="R23" s="56">
        <f>SUM(C23:P23)-Q23</f>
        <v>4</v>
      </c>
    </row>
    <row r="24" spans="1:18" x14ac:dyDescent="0.3">
      <c r="A24" s="44"/>
      <c r="B24" s="49" t="s">
        <v>109</v>
      </c>
      <c r="C24" s="16">
        <v>36</v>
      </c>
      <c r="D24" s="16"/>
      <c r="E24" s="16"/>
      <c r="F24" s="16"/>
      <c r="G24" s="16"/>
      <c r="H24" s="16"/>
      <c r="I24" s="16" t="s">
        <v>115</v>
      </c>
      <c r="J24" s="16"/>
      <c r="K24" s="16"/>
      <c r="L24" s="16"/>
      <c r="M24" s="16"/>
      <c r="N24" s="16"/>
      <c r="O24" s="16"/>
      <c r="P24" s="16"/>
      <c r="Q24" s="59" t="s">
        <v>114</v>
      </c>
      <c r="R24" s="16">
        <f>SUM(C24:P24)</f>
        <v>36</v>
      </c>
    </row>
    <row r="25" spans="1:18" x14ac:dyDescent="0.3">
      <c r="A25" s="47"/>
      <c r="B25" s="48" t="s">
        <v>110</v>
      </c>
      <c r="C25" s="16">
        <v>60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59">
        <f t="shared" ref="Q25" si="6">R24/R25</f>
        <v>0.6</v>
      </c>
      <c r="R25" s="16">
        <f>SUM(C25:P25)</f>
        <v>60</v>
      </c>
    </row>
    <row r="26" spans="1:18" x14ac:dyDescent="0.3">
      <c r="A26" s="54" t="s">
        <v>59</v>
      </c>
      <c r="B26" s="55" t="s">
        <v>111</v>
      </c>
      <c r="C26" s="56" cm="1">
        <f t="array" ref="C26">_xlfn.IFS(C27="BYE",3,C27="",0,C27&gt;C28,3,C27=C28,2,C27&lt;C28,1,C27=WOF,3,C27=LOF,0)</f>
        <v>1</v>
      </c>
      <c r="D26" s="56" cm="1">
        <f t="array" ref="D26">_xlfn.IFS(D27="BYE",3,D27="",0,D27&gt;D28,3,D27=D28,2,D27&lt;D28,1,D27=WOF,3,D27=LOF,0)</f>
        <v>0</v>
      </c>
      <c r="E26" s="56" cm="1">
        <f t="array" ref="E26">_xlfn.IFS(E27="BYE",3,E27="",0,E27&gt;E28,3,E27=E28,2,E27&lt;E28,1,E27=WOF,3,E27=LOF,0)</f>
        <v>0</v>
      </c>
      <c r="F26" s="56" cm="1">
        <f t="array" ref="F26">_xlfn.IFS(F27="BYE",3,F27="",0,F27&gt;F28,3,F27=F28,2,F27&lt;F28,1,F27=WOF,3,F27=LOF,0)</f>
        <v>0</v>
      </c>
      <c r="G26" s="56" cm="1">
        <f t="array" ref="G26">_xlfn.IFS(G27="BYE",3,G27="",0,G27&gt;G28,3,G27=G28,2,G27&lt;G28,1,G27=WOF,3,G27=LOF,0)</f>
        <v>0</v>
      </c>
      <c r="H26" s="56" cm="1">
        <f t="array" ref="H26">_xlfn.IFS(H27="BYE",3,H27="",0,H27&gt;H28,3,H27=H28,2,H27&lt;H28,1,H27=WOF,3,H27=LOF,0)</f>
        <v>0</v>
      </c>
      <c r="I26" s="56" cm="1">
        <f t="array" ref="I26">_xlfn.IFS(I27="BYE",3,I27="",0,I27&gt;I28,3,I27=I28,2,I27&lt;I28,1,I27=WOF,3,I27=LOF,0)</f>
        <v>0</v>
      </c>
      <c r="J26" s="56" cm="1">
        <f t="array" ref="J26">_xlfn.IFS(J27="BYE",3,J27="",0,J27&gt;J28,3,J27=J28,2,J27&lt;J28,1,J27=WOF,3,J27=LOF,0)</f>
        <v>0</v>
      </c>
      <c r="K26" s="56" cm="1">
        <f t="array" ref="K26">_xlfn.IFS(K27="BYE",3,K27="",0,K27&gt;K28,3,K27=K28,2,K27&lt;K28,1,K27=WOF,3,K27=LOF,0)</f>
        <v>3</v>
      </c>
      <c r="L26" s="56" cm="1">
        <f t="array" ref="L26">_xlfn.IFS(L27="BYE",3,L27="",0,L27&gt;L28,3,L27=L28,2,L27&lt;L28,1,L27=WOF,3,L27=LOF,0)</f>
        <v>0</v>
      </c>
      <c r="M26" s="56" cm="1">
        <f t="array" ref="M26">_xlfn.IFS(M27="BYE",3,M27="",0,M27&gt;M28,3,M27=M28,2,M27&lt;M28,1,M27=WOF,3,M27=LOF,0)</f>
        <v>0</v>
      </c>
      <c r="N26" s="56" cm="1">
        <f t="array" ref="N26">_xlfn.IFS(N27="BYE",3,N27="",0,N27&gt;N28,3,N27=N28,2,N27&lt;N28,1,N27=WOF,3,N27=LOF,0)</f>
        <v>0</v>
      </c>
      <c r="O26" s="56" cm="1">
        <f t="array" ref="O26">_xlfn.IFS(O27="BYE",3,O27="",0,O27&gt;O28,3,O27=O28,2,O27&lt;O28,1,O27=WOF,3,O27=LOF,0)</f>
        <v>0</v>
      </c>
      <c r="P26" s="56" cm="1">
        <f t="array" ref="P26">_xlfn.IFS(P27="BYE",3,P27="",0,P27&gt;P28,3,P27=P28,2,P27&lt;P28,1,P27=WOF,3,P27=LOF,0)</f>
        <v>0</v>
      </c>
      <c r="Q26" s="58"/>
      <c r="R26" s="56">
        <f>SUM(C26:P26)-Q26</f>
        <v>4</v>
      </c>
    </row>
    <row r="27" spans="1:18" x14ac:dyDescent="0.3">
      <c r="A27" s="46"/>
      <c r="B27" s="49" t="s">
        <v>109</v>
      </c>
      <c r="C27" s="16">
        <v>21</v>
      </c>
      <c r="D27" s="16"/>
      <c r="E27" s="16"/>
      <c r="F27" s="16"/>
      <c r="G27" s="16"/>
      <c r="H27" s="16"/>
      <c r="I27" s="16"/>
      <c r="J27" s="16"/>
      <c r="K27" s="16" t="s">
        <v>115</v>
      </c>
      <c r="L27" s="16"/>
      <c r="M27" s="16"/>
      <c r="N27" s="16"/>
      <c r="O27" s="16"/>
      <c r="P27" s="16"/>
      <c r="Q27" s="59" t="s">
        <v>114</v>
      </c>
      <c r="R27" s="16">
        <f>SUM(C27:P27)</f>
        <v>21</v>
      </c>
    </row>
    <row r="28" spans="1:18" x14ac:dyDescent="0.3">
      <c r="A28" s="45"/>
      <c r="B28" s="48" t="s">
        <v>110</v>
      </c>
      <c r="C28" s="16">
        <v>71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59">
        <f t="shared" ref="Q28" si="7">R27/R28</f>
        <v>0.29577464788732394</v>
      </c>
      <c r="R28" s="16">
        <f>SUM(C28:P28)</f>
        <v>71</v>
      </c>
    </row>
    <row r="29" spans="1:18" x14ac:dyDescent="0.3">
      <c r="A29" s="20"/>
      <c r="B29" s="43"/>
    </row>
    <row r="30" spans="1:18" x14ac:dyDescent="0.3">
      <c r="A30" s="20"/>
      <c r="B30" s="43"/>
    </row>
    <row r="31" spans="1:18" x14ac:dyDescent="0.3">
      <c r="A31" s="61" t="s">
        <v>116</v>
      </c>
      <c r="B31" s="62"/>
      <c r="C31" s="63" t="s">
        <v>95</v>
      </c>
      <c r="D31" s="63" t="s">
        <v>96</v>
      </c>
      <c r="E31" s="63" t="s">
        <v>97</v>
      </c>
      <c r="F31" s="63" t="s">
        <v>98</v>
      </c>
      <c r="G31" s="63" t="s">
        <v>99</v>
      </c>
      <c r="H31" s="63" t="s">
        <v>100</v>
      </c>
      <c r="I31" s="63" t="s">
        <v>101</v>
      </c>
      <c r="J31" s="63" t="s">
        <v>102</v>
      </c>
      <c r="K31" s="63" t="s">
        <v>103</v>
      </c>
      <c r="L31" s="63" t="s">
        <v>104</v>
      </c>
      <c r="M31" s="63" t="s">
        <v>105</v>
      </c>
      <c r="N31" s="63" t="s">
        <v>106</v>
      </c>
      <c r="O31" s="63" t="s">
        <v>107</v>
      </c>
      <c r="P31" s="64" t="s">
        <v>108</v>
      </c>
      <c r="Q31" s="65" t="s">
        <v>112</v>
      </c>
      <c r="R31" s="64" t="s">
        <v>113</v>
      </c>
    </row>
    <row r="32" spans="1:18" x14ac:dyDescent="0.3">
      <c r="A32" s="66" t="s">
        <v>85</v>
      </c>
      <c r="B32" s="67" t="s">
        <v>111</v>
      </c>
      <c r="C32" s="68" cm="1">
        <f t="array" ref="C32">_xlfn.IFS(C33="BYE",3,C33="",0,C33&gt;C34,3,C33=C34,2,C33&lt;C34,1,C33=WOF,3,C33=LOF,0)</f>
        <v>1</v>
      </c>
      <c r="D32" s="68" cm="1">
        <f t="array" ref="D32">_xlfn.IFS(D33="BYE",3,D33="",0,D33&gt;D34,3,D33=D34,2,D33&lt;D34,1,D33=WOF,3,D33=LOF,0)</f>
        <v>0</v>
      </c>
      <c r="E32" s="68" cm="1">
        <f t="array" ref="E32">_xlfn.IFS(E33="BYE",3,E33="",0,E33&gt;E34,3,E33=E34,2,E33&lt;E34,1,E33=WOF,3,E33=LOF,0)</f>
        <v>0</v>
      </c>
      <c r="F32" s="68" cm="1">
        <f t="array" ref="F32">_xlfn.IFS(F33="BYE",3,F33="",0,F33&gt;F34,3,F33=F34,2,F33&lt;F34,1,F33=WOF,3,F33=LOF,0)</f>
        <v>0</v>
      </c>
      <c r="G32" s="68" cm="1">
        <f t="array" ref="G32">_xlfn.IFS(G33="BYE",3,G33="",0,G33&gt;G34,3,G33=G34,2,G33&lt;G34,1,G33=WOF,3,G33=LOF,0)</f>
        <v>0</v>
      </c>
      <c r="H32" s="68" cm="1">
        <f t="array" ref="H32">_xlfn.IFS(H33="BYE",3,H33="",0,H33&gt;H34,3,H33=H34,2,H33&lt;H34,1,H33=WOF,3,H33=LOF,0)</f>
        <v>0</v>
      </c>
      <c r="I32" s="68" cm="1">
        <f t="array" ref="I32">_xlfn.IFS(I33="BYE",3,I33="",0,I33&gt;I34,3,I33=I34,2,I33&lt;I34,1,I33=WOF,3,I33=LOF,0)</f>
        <v>0</v>
      </c>
      <c r="J32" s="68" cm="1">
        <f t="array" ref="J32">_xlfn.IFS(J33="BYE",3,J33="",0,J33&gt;J34,3,J33=J34,2,J33&lt;J34,1,J33=WOF,3,J33=LOF,0)</f>
        <v>0</v>
      </c>
      <c r="K32" s="68" cm="1">
        <f t="array" ref="K32">_xlfn.IFS(K33="BYE",3,K33="",0,K33&gt;K34,3,K33=K34,2,K33&lt;K34,1,K33=WOF,3,K33=LOF,0)</f>
        <v>0</v>
      </c>
      <c r="L32" s="68" cm="1">
        <f t="array" ref="L32">_xlfn.IFS(L33="BYE",3,L33="",0,L33&gt;L34,3,L33=L34,2,L33&lt;L34,1,L33=WOF,3,L33=LOF,0)</f>
        <v>0</v>
      </c>
      <c r="M32" s="68" cm="1">
        <f t="array" ref="M32">_xlfn.IFS(M33="BYE",3,M33="",0,M33&gt;M34,3,M33=M34,2,M33&lt;M34,1,M33=WOF,3,M33=LOF,0)</f>
        <v>0</v>
      </c>
      <c r="N32" s="68" cm="1">
        <f t="array" ref="N32">_xlfn.IFS(N33="BYE",3,N33="",0,N33&gt;N34,3,N33=N34,2,N33&lt;N34,1,N33=WOF,3,N33=LOF,0)</f>
        <v>0</v>
      </c>
      <c r="O32" s="68" cm="1">
        <f t="array" ref="O32">_xlfn.IFS(O33="BYE",3,O33="",0,O33&gt;O34,3,O33=O34,2,O33&lt;O34,1,O33=WOF,3,O33=LOF,0)</f>
        <v>0</v>
      </c>
      <c r="P32" s="68" cm="1">
        <f t="array" ref="P32">_xlfn.IFS(P33="BYE",3,P33="",0,P33&gt;P34,3,P33=P34,2,P33&lt;P34,1,P33=WOF,3,P33=LOF,0)</f>
        <v>0</v>
      </c>
      <c r="Q32" s="69"/>
      <c r="R32" s="68">
        <f>SUM(C32:P32)-Q32</f>
        <v>1</v>
      </c>
    </row>
    <row r="33" spans="1:18" x14ac:dyDescent="0.3">
      <c r="A33" s="44"/>
      <c r="B33" s="49" t="s">
        <v>109</v>
      </c>
      <c r="C33" s="16">
        <v>39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59" t="s">
        <v>114</v>
      </c>
      <c r="R33" s="16">
        <f>SUM(C33:P33)</f>
        <v>39</v>
      </c>
    </row>
    <row r="34" spans="1:18" x14ac:dyDescent="0.3">
      <c r="A34" s="45"/>
      <c r="B34" s="48" t="s">
        <v>110</v>
      </c>
      <c r="C34" s="16">
        <v>49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59">
        <f>R33/R34</f>
        <v>0.79591836734693877</v>
      </c>
      <c r="R34" s="16">
        <f>SUM(C34:P34)</f>
        <v>49</v>
      </c>
    </row>
    <row r="35" spans="1:18" x14ac:dyDescent="0.3">
      <c r="A35" s="66" t="s">
        <v>86</v>
      </c>
      <c r="B35" s="67" t="s">
        <v>111</v>
      </c>
      <c r="C35" s="68" cm="1">
        <f t="array" ref="C35">_xlfn.IFS(C36="BYE",3,C36="",0,C36&gt;C37,3,C36=C37,2,C36&lt;C37,1,C36=WOF,3,C36=LOF,0)</f>
        <v>3</v>
      </c>
      <c r="D35" s="68" cm="1">
        <f t="array" ref="D35">_xlfn.IFS(D36="BYE",3,D36="",0,D36&gt;D37,3,D36=D37,2,D36&lt;D37,1,D36=WOF,3,D36=LOF,0)</f>
        <v>0</v>
      </c>
      <c r="E35" s="68" cm="1">
        <f t="array" ref="E35">_xlfn.IFS(E36="BYE",3,E36="",0,E36&gt;E37,3,E36=E37,2,E36&lt;E37,1,E36=WOF,3,E36=LOF,0)</f>
        <v>0</v>
      </c>
      <c r="F35" s="68" cm="1">
        <f t="array" ref="F35">_xlfn.IFS(F36="BYE",3,F36="",0,F36&gt;F37,3,F36=F37,2,F36&lt;F37,1,F36=WOF,3,F36=LOF,0)</f>
        <v>0</v>
      </c>
      <c r="G35" s="68" cm="1">
        <f t="array" ref="G35">_xlfn.IFS(G36="BYE",3,G36="",0,G36&gt;G37,3,G36=G37,2,G36&lt;G37,1,G36=WOF,3,G36=LOF,0)</f>
        <v>0</v>
      </c>
      <c r="H35" s="68" cm="1">
        <f t="array" ref="H35">_xlfn.IFS(H36="BYE",3,H36="",0,H36&gt;H37,3,H36=H37,2,H36&lt;H37,1,H36=WOF,3,H36=LOF,0)</f>
        <v>0</v>
      </c>
      <c r="I35" s="68" cm="1">
        <f t="array" ref="I35">_xlfn.IFS(I36="BYE",3,I36="",0,I36&gt;I37,3,I36=I37,2,I36&lt;I37,1,I36=WOF,3,I36=LOF,0)</f>
        <v>0</v>
      </c>
      <c r="J35" s="68" cm="1">
        <f t="array" ref="J35">_xlfn.IFS(J36="BYE",3,J36="",0,J36&gt;J37,3,J36=J37,2,J36&lt;J37,1,J36=WOF,3,J36=LOF,0)</f>
        <v>0</v>
      </c>
      <c r="K35" s="68" cm="1">
        <f t="array" ref="K35">_xlfn.IFS(K36="BYE",3,K36="",0,K36&gt;K37,3,K36=K37,2,K36&lt;K37,1,K36=WOF,3,K36=LOF,0)</f>
        <v>0</v>
      </c>
      <c r="L35" s="68" cm="1">
        <f t="array" ref="L35">_xlfn.IFS(L36="BYE",3,L36="",0,L36&gt;L37,3,L36=L37,2,L36&lt;L37,1,L36=WOF,3,L36=LOF,0)</f>
        <v>0</v>
      </c>
      <c r="M35" s="68" cm="1">
        <f t="array" ref="M35">_xlfn.IFS(M36="BYE",3,M36="",0,M36&gt;M37,3,M36=M37,2,M36&lt;M37,1,M36=WOF,3,M36=LOF,0)</f>
        <v>0</v>
      </c>
      <c r="N35" s="68" cm="1">
        <f t="array" ref="N35">_xlfn.IFS(N36="BYE",3,N36="",0,N36&gt;N37,3,N36=N37,2,N36&lt;N37,1,N36=WOF,3,N36=LOF,0)</f>
        <v>0</v>
      </c>
      <c r="O35" s="68" cm="1">
        <f t="array" ref="O35">_xlfn.IFS(O36="BYE",3,O36="",0,O36&gt;O37,3,O36=O37,2,O36&lt;O37,1,O36=WOF,3,O36=LOF,0)</f>
        <v>0</v>
      </c>
      <c r="P35" s="68" cm="1">
        <f t="array" ref="P35">_xlfn.IFS(P36="BYE",3,P36="",0,P36&gt;P37,3,P36=P37,2,P36&lt;P37,1,P36=WOF,3,P36=LOF,0)</f>
        <v>0</v>
      </c>
      <c r="Q35" s="69"/>
      <c r="R35" s="68">
        <f>SUM(C35:P35)-Q35</f>
        <v>3</v>
      </c>
    </row>
    <row r="36" spans="1:18" x14ac:dyDescent="0.3">
      <c r="A36" s="46"/>
      <c r="B36" s="49" t="s">
        <v>109</v>
      </c>
      <c r="C36" s="16">
        <v>80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59" t="s">
        <v>114</v>
      </c>
      <c r="R36" s="16">
        <f>SUM(C36:P36)</f>
        <v>80</v>
      </c>
    </row>
    <row r="37" spans="1:18" x14ac:dyDescent="0.3">
      <c r="A37" s="44"/>
      <c r="B37" s="48" t="s">
        <v>110</v>
      </c>
      <c r="C37" s="16">
        <v>29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59">
        <f t="shared" ref="Q37" si="8">R36/R37</f>
        <v>2.7586206896551726</v>
      </c>
      <c r="R37" s="16">
        <f>SUM(C37:P37)</f>
        <v>29</v>
      </c>
    </row>
    <row r="38" spans="1:18" x14ac:dyDescent="0.3">
      <c r="A38" s="66" t="s">
        <v>87</v>
      </c>
      <c r="B38" s="67" t="s">
        <v>111</v>
      </c>
      <c r="C38" s="68" cm="1">
        <f t="array" ref="C38">_xlfn.IFS(C39="BYE",3,C39="",0,C39&gt;C40,3,C39=C40,2,C39&lt;C40,1,C39=WOF,3,C39=LOF,0)</f>
        <v>3</v>
      </c>
      <c r="D38" s="68" cm="1">
        <f t="array" ref="D38">_xlfn.IFS(D39="BYE",3,D39="",0,D39&gt;D40,3,D39=D40,2,D39&lt;D40,1,D39=WOF,3,D39=LOF,0)</f>
        <v>0</v>
      </c>
      <c r="E38" s="68" cm="1">
        <f t="array" ref="E38">_xlfn.IFS(E39="BYE",3,E39="",0,E39&gt;E40,3,E39=E40,2,E39&lt;E40,1,E39=WOF,3,E39=LOF,0)</f>
        <v>0</v>
      </c>
      <c r="F38" s="68" cm="1">
        <f t="array" ref="F38">_xlfn.IFS(F39="BYE",3,F39="",0,F39&gt;F40,3,F39=F40,2,F39&lt;F40,1,F39=WOF,3,F39=LOF,0)</f>
        <v>0</v>
      </c>
      <c r="G38" s="68" cm="1">
        <f t="array" ref="G38">_xlfn.IFS(G39="BYE",3,G39="",0,G39&gt;G40,3,G39=G40,2,G39&lt;G40,1,G39=WOF,3,G39=LOF,0)</f>
        <v>0</v>
      </c>
      <c r="H38" s="68" cm="1">
        <f t="array" ref="H38">_xlfn.IFS(H39="BYE",3,H39="",0,H39&gt;H40,3,H39=H40,2,H39&lt;H40,1,H39=WOF,3,H39=LOF,0)</f>
        <v>0</v>
      </c>
      <c r="I38" s="68" cm="1">
        <f t="array" ref="I38">_xlfn.IFS(I39="BYE",3,I39="",0,I39&gt;I40,3,I39=I40,2,I39&lt;I40,1,I39=WOF,3,I39=LOF,0)</f>
        <v>0</v>
      </c>
      <c r="J38" s="68" cm="1">
        <f t="array" ref="J38">_xlfn.IFS(J39="BYE",3,J39="",0,J39&gt;J40,3,J39=J40,2,J39&lt;J40,1,J39=WOF,3,J39=LOF,0)</f>
        <v>0</v>
      </c>
      <c r="K38" s="68" cm="1">
        <f t="array" ref="K38">_xlfn.IFS(K39="BYE",3,K39="",0,K39&gt;K40,3,K39=K40,2,K39&lt;K40,1,K39=WOF,3,K39=LOF,0)</f>
        <v>0</v>
      </c>
      <c r="L38" s="68" cm="1">
        <f t="array" ref="L38">_xlfn.IFS(L39="BYE",3,L39="",0,L39&gt;L40,3,L39=L40,2,L39&lt;L40,1,L39=WOF,3,L39=LOF,0)</f>
        <v>0</v>
      </c>
      <c r="M38" s="68" cm="1">
        <f t="array" ref="M38">_xlfn.IFS(M39="BYE",3,M39="",0,M39&gt;M40,3,M39=M40,2,M39&lt;M40,1,M39=WOF,3,M39=LOF,0)</f>
        <v>0</v>
      </c>
      <c r="N38" s="68" cm="1">
        <f t="array" ref="N38">_xlfn.IFS(N39="BYE",3,N39="",0,N39&gt;N40,3,N39=N40,2,N39&lt;N40,1,N39=WOF,3,N39=LOF,0)</f>
        <v>0</v>
      </c>
      <c r="O38" s="68" cm="1">
        <f t="array" ref="O38">_xlfn.IFS(O39="BYE",3,O39="",0,O39&gt;O40,3,O39=O40,2,O39&lt;O40,1,O39=WOF,3,O39=LOF,0)</f>
        <v>0</v>
      </c>
      <c r="P38" s="68" cm="1">
        <f t="array" ref="P38">_xlfn.IFS(P39="BYE",3,P39="",0,P39&gt;P40,3,P39=P40,2,P39&lt;P40,1,P39=WOF,3,P39=LOF,0)</f>
        <v>0</v>
      </c>
      <c r="Q38" s="69"/>
      <c r="R38" s="68">
        <f>SUM(C38:P38)-Q38</f>
        <v>3</v>
      </c>
    </row>
    <row r="39" spans="1:18" x14ac:dyDescent="0.3">
      <c r="A39" s="44"/>
      <c r="B39" s="49" t="s">
        <v>109</v>
      </c>
      <c r="C39" s="16">
        <v>74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59" t="s">
        <v>114</v>
      </c>
      <c r="R39" s="16">
        <f>SUM(C39:P39)</f>
        <v>74</v>
      </c>
    </row>
    <row r="40" spans="1:18" x14ac:dyDescent="0.3">
      <c r="A40" s="45"/>
      <c r="B40" s="48" t="s">
        <v>110</v>
      </c>
      <c r="C40" s="16">
        <v>36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59">
        <f t="shared" ref="Q40" si="9">R39/R40</f>
        <v>2.0555555555555554</v>
      </c>
      <c r="R40" s="16">
        <f>SUM(C40:P40)</f>
        <v>36</v>
      </c>
    </row>
    <row r="41" spans="1:18" x14ac:dyDescent="0.3">
      <c r="A41" s="66" t="s">
        <v>58</v>
      </c>
      <c r="B41" s="67" t="s">
        <v>111</v>
      </c>
      <c r="C41" s="68" cm="1">
        <f t="array" ref="C41">_xlfn.IFS(C42="BYE",3,C42="",0,C42&gt;C43,3,C42=C43,2,C42&lt;C43,1,C42=WOF,3,C42=LOF,0)</f>
        <v>3</v>
      </c>
      <c r="D41" s="68" cm="1">
        <f t="array" ref="D41">_xlfn.IFS(D42="BYE",3,D42="",0,D42&gt;D43,3,D42=D43,2,D42&lt;D43,1,D42=WOF,3,D42=LOF,0)</f>
        <v>0</v>
      </c>
      <c r="E41" s="68" cm="1">
        <f t="array" ref="E41">_xlfn.IFS(E42="BYE",3,E42="",0,E42&gt;E43,3,E42=E43,2,E42&lt;E43,1,E42=WOF,3,E42=LOF,0)</f>
        <v>0</v>
      </c>
      <c r="F41" s="68" cm="1">
        <f t="array" ref="F41">_xlfn.IFS(F42="BYE",3,F42="",0,F42&gt;F43,3,F42=F43,2,F42&lt;F43,1,F42=WOF,3,F42=LOF,0)</f>
        <v>0</v>
      </c>
      <c r="G41" s="68" cm="1">
        <f t="array" ref="G41">_xlfn.IFS(G42="BYE",3,G42="",0,G42&gt;G43,3,G42=G43,2,G42&lt;G43,1,G42=WOF,3,G42=LOF,0)</f>
        <v>0</v>
      </c>
      <c r="H41" s="68" cm="1">
        <f t="array" ref="H41">_xlfn.IFS(H42="BYE",3,H42="",0,H42&gt;H43,3,H42=H43,2,H42&lt;H43,1,H42=WOF,3,H42=LOF,0)</f>
        <v>0</v>
      </c>
      <c r="I41" s="68" cm="1">
        <f t="array" ref="I41">_xlfn.IFS(I42="BYE",3,I42="",0,I42&gt;I43,3,I42=I43,2,I42&lt;I43,1,I42=WOF,3,I42=LOF,0)</f>
        <v>0</v>
      </c>
      <c r="J41" s="68" cm="1">
        <f t="array" ref="J41">_xlfn.IFS(J42="BYE",3,J42="",0,J42&gt;J43,3,J42=J43,2,J42&lt;J43,1,J42=WOF,3,J42=LOF,0)</f>
        <v>0</v>
      </c>
      <c r="K41" s="68" cm="1">
        <f t="array" ref="K41">_xlfn.IFS(K42="BYE",3,K42="",0,K42&gt;K43,3,K42=K43,2,K42&lt;K43,1,K42=WOF,3,K42=LOF,0)</f>
        <v>0</v>
      </c>
      <c r="L41" s="68" cm="1">
        <f t="array" ref="L41">_xlfn.IFS(L42="BYE",3,L42="",0,L42&gt;L43,3,L42=L43,2,L42&lt;L43,1,L42=WOF,3,L42=LOF,0)</f>
        <v>0</v>
      </c>
      <c r="M41" s="68" cm="1">
        <f t="array" ref="M41">_xlfn.IFS(M42="BYE",3,M42="",0,M42&gt;M43,3,M42=M43,2,M42&lt;M43,1,M42=WOF,3,M42=LOF,0)</f>
        <v>0</v>
      </c>
      <c r="N41" s="68" cm="1">
        <f t="array" ref="N41">_xlfn.IFS(N42="BYE",3,N42="",0,N42&gt;N43,3,N42=N43,2,N42&lt;N43,1,N42=WOF,3,N42=LOF,0)</f>
        <v>0</v>
      </c>
      <c r="O41" s="68" cm="1">
        <f t="array" ref="O41">_xlfn.IFS(O42="BYE",3,O42="",0,O42&gt;O43,3,O42=O43,2,O42&lt;O43,1,O42=WOF,3,O42=LOF,0)</f>
        <v>0</v>
      </c>
      <c r="P41" s="68" cm="1">
        <f t="array" ref="P41">_xlfn.IFS(P42="BYE",3,P42="",0,P42&gt;P43,3,P42=P43,2,P42&lt;P43,1,P42=WOF,3,P42=LOF,0)</f>
        <v>0</v>
      </c>
      <c r="Q41" s="69"/>
      <c r="R41" s="68">
        <f>SUM(C41:P41)-Q41</f>
        <v>3</v>
      </c>
    </row>
    <row r="42" spans="1:18" x14ac:dyDescent="0.3">
      <c r="A42" s="46"/>
      <c r="B42" s="49" t="s">
        <v>109</v>
      </c>
      <c r="C42" s="16">
        <v>49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59" t="s">
        <v>114</v>
      </c>
      <c r="R42" s="16">
        <f>SUM(C42:P42)</f>
        <v>49</v>
      </c>
    </row>
    <row r="43" spans="1:18" x14ac:dyDescent="0.3">
      <c r="A43" s="44"/>
      <c r="B43" s="48" t="s">
        <v>110</v>
      </c>
      <c r="C43" s="16">
        <v>39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59">
        <f t="shared" ref="Q43" si="10">R42/R43</f>
        <v>1.2564102564102564</v>
      </c>
      <c r="R43" s="16">
        <f>SUM(C43:P43)</f>
        <v>39</v>
      </c>
    </row>
    <row r="44" spans="1:18" x14ac:dyDescent="0.3">
      <c r="A44" s="66" t="s">
        <v>57</v>
      </c>
      <c r="B44" s="67" t="s">
        <v>111</v>
      </c>
      <c r="C44" s="68" cm="1">
        <f t="array" ref="C44">_xlfn.IFS(C45="BYE",3,C45="",0,C45&gt;C46,3,C45=C46,2,C45&lt;C46,1,C45=WOF,3,C45=LOF,0)</f>
        <v>1</v>
      </c>
      <c r="D44" s="68" cm="1">
        <f t="array" ref="D44">_xlfn.IFS(D45="BYE",3,D45="",0,D45&gt;D46,3,D45=D46,2,D45&lt;D46,1,D45=WOF,3,D45=LOF,0)</f>
        <v>0</v>
      </c>
      <c r="E44" s="68" cm="1">
        <f t="array" ref="E44">_xlfn.IFS(E45="BYE",3,E45="",0,E45&gt;E46,3,E45=E46,2,E45&lt;E46,1,E45=WOF,3,E45=LOF,0)</f>
        <v>0</v>
      </c>
      <c r="F44" s="68" cm="1">
        <f t="array" ref="F44">_xlfn.IFS(F45="BYE",3,F45="",0,F45&gt;F46,3,F45=F46,2,F45&lt;F46,1,F45=WOF,3,F45=LOF,0)</f>
        <v>0</v>
      </c>
      <c r="G44" s="68" cm="1">
        <f t="array" ref="G44">_xlfn.IFS(G45="BYE",3,G45="",0,G45&gt;G46,3,G45=G46,2,G45&lt;G46,1,G45=WOF,3,G45=LOF,0)</f>
        <v>0</v>
      </c>
      <c r="H44" s="68" cm="1">
        <f t="array" ref="H44">_xlfn.IFS(H45="BYE",3,H45="",0,H45&gt;H46,3,H45=H46,2,H45&lt;H46,1,H45=WOF,3,H45=LOF,0)</f>
        <v>0</v>
      </c>
      <c r="I44" s="68" cm="1">
        <f t="array" ref="I44">_xlfn.IFS(I45="BYE",3,I45="",0,I45&gt;I46,3,I45=I46,2,I45&lt;I46,1,I45=WOF,3,I45=LOF,0)</f>
        <v>0</v>
      </c>
      <c r="J44" s="68" cm="1">
        <f t="array" ref="J44">_xlfn.IFS(J45="BYE",3,J45="",0,J45&gt;J46,3,J45=J46,2,J45&lt;J46,1,J45=WOF,3,J45=LOF,0)</f>
        <v>0</v>
      </c>
      <c r="K44" s="68" cm="1">
        <f t="array" ref="K44">_xlfn.IFS(K45="BYE",3,K45="",0,K45&gt;K46,3,K45=K46,2,K45&lt;K46,1,K45=WOF,3,K45=LOF,0)</f>
        <v>0</v>
      </c>
      <c r="L44" s="68" cm="1">
        <f t="array" ref="L44">_xlfn.IFS(L45="BYE",3,L45="",0,L45&gt;L46,3,L45=L46,2,L45&lt;L46,1,L45=WOF,3,L45=LOF,0)</f>
        <v>0</v>
      </c>
      <c r="M44" s="68" cm="1">
        <f t="array" ref="M44">_xlfn.IFS(M45="BYE",3,M45="",0,M45&gt;M46,3,M45=M46,2,M45&lt;M46,1,M45=WOF,3,M45=LOF,0)</f>
        <v>0</v>
      </c>
      <c r="N44" s="68" cm="1">
        <f t="array" ref="N44">_xlfn.IFS(N45="BYE",3,N45="",0,N45&gt;N46,3,N45=N46,2,N45&lt;N46,1,N45=WOF,3,N45=LOF,0)</f>
        <v>0</v>
      </c>
      <c r="O44" s="68" cm="1">
        <f t="array" ref="O44">_xlfn.IFS(O45="BYE",3,O45="",0,O45&gt;O46,3,O45=O46,2,O45&lt;O46,1,O45=WOF,3,O45=LOF,0)</f>
        <v>0</v>
      </c>
      <c r="P44" s="68" cm="1">
        <f t="array" ref="P44">_xlfn.IFS(P45="BYE",3,P45="",0,P45&gt;P46,3,P45=P46,2,P45&lt;P46,1,P45=WOF,3,P45=LOF,0)</f>
        <v>0</v>
      </c>
      <c r="Q44" s="69"/>
      <c r="R44" s="68">
        <f>SUM(C44:P44)-Q44</f>
        <v>1</v>
      </c>
    </row>
    <row r="45" spans="1:18" x14ac:dyDescent="0.3">
      <c r="A45" s="44"/>
      <c r="B45" s="49" t="s">
        <v>109</v>
      </c>
      <c r="C45" s="16">
        <v>29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59" t="s">
        <v>114</v>
      </c>
      <c r="R45" s="16">
        <f>SUM(C45:P45)</f>
        <v>29</v>
      </c>
    </row>
    <row r="46" spans="1:18" x14ac:dyDescent="0.3">
      <c r="A46" s="47"/>
      <c r="B46" s="48" t="s">
        <v>110</v>
      </c>
      <c r="C46" s="16">
        <v>80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59">
        <f t="shared" ref="Q46" si="11">R45/R46</f>
        <v>0.36249999999999999</v>
      </c>
      <c r="R46" s="16">
        <f>SUM(C46:P46)</f>
        <v>80</v>
      </c>
    </row>
    <row r="47" spans="1:18" x14ac:dyDescent="0.3">
      <c r="A47" s="66" t="s">
        <v>88</v>
      </c>
      <c r="B47" s="67" t="s">
        <v>111</v>
      </c>
      <c r="C47" s="68" cm="1">
        <f t="array" ref="C47">_xlfn.IFS(C48="BYE",3,C48="",0,C48&gt;C49,3,C48=C49,2,C48&lt;C49,1,C48=WOF,3,C48=LOF,0)</f>
        <v>1</v>
      </c>
      <c r="D47" s="68" cm="1">
        <f t="array" ref="D47">_xlfn.IFS(D48="BYE",3,D48="",0,D48&gt;D49,3,D48=D49,2,D48&lt;D49,1,D48=WOF,3,D48=LOF,0)</f>
        <v>0</v>
      </c>
      <c r="E47" s="68" cm="1">
        <f t="array" ref="E47">_xlfn.IFS(E48="BYE",3,E48="",0,E48&gt;E49,3,E48=E49,2,E48&lt;E49,1,E48=WOF,3,E48=LOF,0)</f>
        <v>0</v>
      </c>
      <c r="F47" s="68" cm="1">
        <f t="array" ref="F47">_xlfn.IFS(F48="BYE",3,F48="",0,F48&gt;F49,3,F48=F49,2,F48&lt;F49,1,F48=WOF,3,F48=LOF,0)</f>
        <v>0</v>
      </c>
      <c r="G47" s="68" cm="1">
        <f t="array" ref="G47">_xlfn.IFS(G48="BYE",3,G48="",0,G48&gt;G49,3,G48=G49,2,G48&lt;G49,1,G48=WOF,3,G48=LOF,0)</f>
        <v>0</v>
      </c>
      <c r="H47" s="68" cm="1">
        <f t="array" ref="H47">_xlfn.IFS(H48="BYE",3,H48="",0,H48&gt;H49,3,H48=H49,2,H48&lt;H49,1,H48=WOF,3,H48=LOF,0)</f>
        <v>0</v>
      </c>
      <c r="I47" s="68" cm="1">
        <f t="array" ref="I47">_xlfn.IFS(I48="BYE",3,I48="",0,I48&gt;I49,3,I48=I49,2,I48&lt;I49,1,I48=WOF,3,I48=LOF,0)</f>
        <v>0</v>
      </c>
      <c r="J47" s="68" cm="1">
        <f t="array" ref="J47">_xlfn.IFS(J48="BYE",3,J48="",0,J48&gt;J49,3,J48=J49,2,J48&lt;J49,1,J48=WOF,3,J48=LOF,0)</f>
        <v>0</v>
      </c>
      <c r="K47" s="68" cm="1">
        <f t="array" ref="K47">_xlfn.IFS(K48="BYE",3,K48="",0,K48&gt;K49,3,K48=K49,2,K48&lt;K49,1,K48=WOF,3,K48=LOF,0)</f>
        <v>0</v>
      </c>
      <c r="L47" s="68" cm="1">
        <f t="array" ref="L47">_xlfn.IFS(L48="BYE",3,L48="",0,L48&gt;L49,3,L48=L49,2,L48&lt;L49,1,L48=WOF,3,L48=LOF,0)</f>
        <v>0</v>
      </c>
      <c r="M47" s="68" cm="1">
        <f t="array" ref="M47">_xlfn.IFS(M48="BYE",3,M48="",0,M48&gt;M49,3,M48=M49,2,M48&lt;M49,1,M48=WOF,3,M48=LOF,0)</f>
        <v>0</v>
      </c>
      <c r="N47" s="68" cm="1">
        <f t="array" ref="N47">_xlfn.IFS(N48="BYE",3,N48="",0,N48&gt;N49,3,N48=N49,2,N48&lt;N49,1,N48=WOF,3,N48=LOF,0)</f>
        <v>0</v>
      </c>
      <c r="O47" s="68" cm="1">
        <f t="array" ref="O47">_xlfn.IFS(O48="BYE",3,O48="",0,O48&gt;O49,3,O48=O49,2,O48&lt;O49,1,O48=WOF,3,O48=LOF,0)</f>
        <v>0</v>
      </c>
      <c r="P47" s="68" cm="1">
        <f t="array" ref="P47">_xlfn.IFS(P48="BYE",3,P48="",0,P48&gt;P49,3,P48=P49,2,P48&lt;P49,1,P48=WOF,3,P48=LOF,0)</f>
        <v>0</v>
      </c>
      <c r="Q47" s="69"/>
      <c r="R47" s="68">
        <f>SUM(C47:P47)-Q47</f>
        <v>1</v>
      </c>
    </row>
    <row r="48" spans="1:18" x14ac:dyDescent="0.3">
      <c r="A48" s="44"/>
      <c r="B48" s="49" t="s">
        <v>109</v>
      </c>
      <c r="C48" s="16">
        <v>36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59" t="s">
        <v>114</v>
      </c>
      <c r="R48" s="16">
        <f>SUM(C48:P48)</f>
        <v>36</v>
      </c>
    </row>
    <row r="49" spans="1:18" x14ac:dyDescent="0.3">
      <c r="A49" s="46"/>
      <c r="B49" s="48" t="s">
        <v>110</v>
      </c>
      <c r="C49" s="16">
        <v>74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59">
        <f t="shared" ref="Q49" si="12">R48/R49</f>
        <v>0.48648648648648651</v>
      </c>
      <c r="R49" s="16">
        <f>SUM(C49:P49)</f>
        <v>74</v>
      </c>
    </row>
    <row r="50" spans="1:18" x14ac:dyDescent="0.3">
      <c r="A50" s="66" t="s">
        <v>91</v>
      </c>
      <c r="B50" s="67" t="s">
        <v>111</v>
      </c>
      <c r="C50" s="68" cm="1">
        <f t="array" ref="C50">_xlfn.IFS(C51="BYE",3,C51="",0,C51&gt;C52,3,C51=C52,2,C51&lt;C52,1,C51=WOF,3,C51=LOF,0)</f>
        <v>3</v>
      </c>
      <c r="D50" s="68" cm="1">
        <f t="array" ref="D50">_xlfn.IFS(D51="BYE",3,D51="",0,D51&gt;D52,3,D51=D52,2,D51&lt;D52,1,D51=WOF,3,D51=LOF,0)</f>
        <v>0</v>
      </c>
      <c r="E50" s="68" cm="1">
        <f t="array" ref="E50">_xlfn.IFS(E51="BYE",3,E51="",0,E51&gt;E52,3,E51=E52,2,E51&lt;E52,1,E51=WOF,3,E51=LOF,0)</f>
        <v>0</v>
      </c>
      <c r="F50" s="68" cm="1">
        <f t="array" ref="F50">_xlfn.IFS(F51="BYE",3,F51="",0,F51&gt;F52,3,F51=F52,2,F51&lt;F52,1,F51=WOF,3,F51=LOF,0)</f>
        <v>0</v>
      </c>
      <c r="G50" s="68" cm="1">
        <f t="array" ref="G50">_xlfn.IFS(G51="BYE",3,G51="",0,G51&gt;G52,3,G51=G52,2,G51&lt;G52,1,G51=WOF,3,G51=LOF,0)</f>
        <v>0</v>
      </c>
      <c r="H50" s="68" cm="1">
        <f t="array" ref="H50">_xlfn.IFS(H51="BYE",3,H51="",0,H51&gt;H52,3,H51=H52,2,H51&lt;H52,1,H51=WOF,3,H51=LOF,0)</f>
        <v>0</v>
      </c>
      <c r="I50" s="68" cm="1">
        <f t="array" ref="I50">_xlfn.IFS(I51="BYE",3,I51="",0,I51&gt;I52,3,I51=I52,2,I51&lt;I52,1,I51=WOF,3,I51=LOF,0)</f>
        <v>0</v>
      </c>
      <c r="J50" s="68" cm="1">
        <f t="array" ref="J50">_xlfn.IFS(J51="BYE",3,J51="",0,J51&gt;J52,3,J51=J52,2,J51&lt;J52,1,J51=WOF,3,J51=LOF,0)</f>
        <v>0</v>
      </c>
      <c r="K50" s="68" cm="1">
        <f t="array" ref="K50">_xlfn.IFS(K51="BYE",3,K51="",0,K51&gt;K52,3,K51=K52,2,K51&lt;K52,1,K51=WOF,3,K51=LOF,0)</f>
        <v>0</v>
      </c>
      <c r="L50" s="68" cm="1">
        <f t="array" ref="L50">_xlfn.IFS(L51="BYE",3,L51="",0,L51&gt;L52,3,L51=L52,2,L51&lt;L52,1,L51=WOF,3,L51=LOF,0)</f>
        <v>0</v>
      </c>
      <c r="M50" s="68" cm="1">
        <f t="array" ref="M50">_xlfn.IFS(M51="BYE",3,M51="",0,M51&gt;M52,3,M51=M52,2,M51&lt;M52,1,M51=WOF,3,M51=LOF,0)</f>
        <v>0</v>
      </c>
      <c r="N50" s="68" cm="1">
        <f t="array" ref="N50">_xlfn.IFS(N51="BYE",3,N51="",0,N51&gt;N52,3,N51=N52,2,N51&lt;N52,1,N51=WOF,3,N51=LOF,0)</f>
        <v>0</v>
      </c>
      <c r="O50" s="68" cm="1">
        <f t="array" ref="O50">_xlfn.IFS(O51="BYE",3,O51="",0,O51&gt;O52,3,O51=O52,2,O51&lt;O52,1,O51=WOF,3,O51=LOF,0)</f>
        <v>0</v>
      </c>
      <c r="P50" s="68" cm="1">
        <f t="array" ref="P50">_xlfn.IFS(P51="BYE",3,P51="",0,P51&gt;P52,3,P51=P52,2,P51&lt;P52,1,P51=WOF,3,P51=LOF,0)</f>
        <v>0</v>
      </c>
      <c r="Q50" s="69"/>
      <c r="R50" s="68">
        <f>SUM(C50:P50)-Q50</f>
        <v>3</v>
      </c>
    </row>
    <row r="51" spans="1:18" x14ac:dyDescent="0.3">
      <c r="A51" s="46"/>
      <c r="B51" s="49" t="s">
        <v>109</v>
      </c>
      <c r="C51" s="16">
        <v>50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59" t="s">
        <v>114</v>
      </c>
      <c r="R51" s="16">
        <f>SUM(C51:P51)</f>
        <v>50</v>
      </c>
    </row>
    <row r="52" spans="1:18" x14ac:dyDescent="0.3">
      <c r="A52" s="47"/>
      <c r="B52" s="48" t="s">
        <v>110</v>
      </c>
      <c r="C52" s="16">
        <v>32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59">
        <f t="shared" ref="Q52" si="13">R51/R52</f>
        <v>1.5625</v>
      </c>
      <c r="R52" s="16">
        <f>SUM(C52:P52)</f>
        <v>32</v>
      </c>
    </row>
    <row r="53" spans="1:18" x14ac:dyDescent="0.3">
      <c r="A53" s="66" t="s">
        <v>56</v>
      </c>
      <c r="B53" s="67" t="s">
        <v>111</v>
      </c>
      <c r="C53" s="68" cm="1">
        <f t="array" ref="C53">_xlfn.IFS(C54="BYE",3,C54="",0,C54&gt;C55,3,C54=C55,2,C54&lt;C55,1,C54=WOF,3,C54=LOF,0)</f>
        <v>1</v>
      </c>
      <c r="D53" s="68" cm="1">
        <f t="array" ref="D53">_xlfn.IFS(D54="BYE",3,D54="",0,D54&gt;D55,3,D54=D55,2,D54&lt;D55,1,D54=WOF,3,D54=LOF,0)</f>
        <v>0</v>
      </c>
      <c r="E53" s="68" cm="1">
        <f t="array" ref="E53">_xlfn.IFS(E54="BYE",3,E54="",0,E54&gt;E55,3,E54=E55,2,E54&lt;E55,1,E54=WOF,3,E54=LOF,0)</f>
        <v>0</v>
      </c>
      <c r="F53" s="68" cm="1">
        <f t="array" ref="F53">_xlfn.IFS(F54="BYE",3,F54="",0,F54&gt;F55,3,F54=F55,2,F54&lt;F55,1,F54=WOF,3,F54=LOF,0)</f>
        <v>0</v>
      </c>
      <c r="G53" s="68" cm="1">
        <f t="array" ref="G53">_xlfn.IFS(G54="BYE",3,G54="",0,G54&gt;G55,3,G54=G55,2,G54&lt;G55,1,G54=WOF,3,G54=LOF,0)</f>
        <v>0</v>
      </c>
      <c r="H53" s="68" cm="1">
        <f t="array" ref="H53">_xlfn.IFS(H54="BYE",3,H54="",0,H54&gt;H55,3,H54=H55,2,H54&lt;H55,1,H54=WOF,3,H54=LOF,0)</f>
        <v>0</v>
      </c>
      <c r="I53" s="68" cm="1">
        <f t="array" ref="I53">_xlfn.IFS(I54="BYE",3,I54="",0,I54&gt;I55,3,I54=I55,2,I54&lt;I55,1,I54=WOF,3,I54=LOF,0)</f>
        <v>0</v>
      </c>
      <c r="J53" s="68" cm="1">
        <f t="array" ref="J53">_xlfn.IFS(J54="BYE",3,J54="",0,J54&gt;J55,3,J54=J55,2,J54&lt;J55,1,J54=WOF,3,J54=LOF,0)</f>
        <v>0</v>
      </c>
      <c r="K53" s="68" cm="1">
        <f t="array" ref="K53">_xlfn.IFS(K54="BYE",3,K54="",0,K54&gt;K55,3,K54=K55,2,K54&lt;K55,1,K54=WOF,3,K54=LOF,0)</f>
        <v>0</v>
      </c>
      <c r="L53" s="68" cm="1">
        <f t="array" ref="L53">_xlfn.IFS(L54="BYE",3,L54="",0,L54&gt;L55,3,L54=L55,2,L54&lt;L55,1,L54=WOF,3,L54=LOF,0)</f>
        <v>0</v>
      </c>
      <c r="M53" s="68" cm="1">
        <f t="array" ref="M53">_xlfn.IFS(M54="BYE",3,M54="",0,M54&gt;M55,3,M54=M55,2,M54&lt;M55,1,M54=WOF,3,M54=LOF,0)</f>
        <v>0</v>
      </c>
      <c r="N53" s="68" cm="1">
        <f t="array" ref="N53">_xlfn.IFS(N54="BYE",3,N54="",0,N54&gt;N55,3,N54=N55,2,N54&lt;N55,1,N54=WOF,3,N54=LOF,0)</f>
        <v>0</v>
      </c>
      <c r="O53" s="68" cm="1">
        <f t="array" ref="O53">_xlfn.IFS(O54="BYE",3,O54="",0,O54&gt;O55,3,O54=O55,2,O54&lt;O55,1,O54=WOF,3,O54=LOF,0)</f>
        <v>0</v>
      </c>
      <c r="P53" s="68" cm="1">
        <f t="array" ref="P53">_xlfn.IFS(P54="BYE",3,P54="",0,P54&gt;P55,3,P54=P55,2,P54&lt;P55,1,P54=WOF,3,P54=LOF,0)</f>
        <v>0</v>
      </c>
      <c r="Q53" s="69"/>
      <c r="R53" s="68">
        <f>SUM(C53:P53)-Q53</f>
        <v>1</v>
      </c>
    </row>
    <row r="54" spans="1:18" x14ac:dyDescent="0.3">
      <c r="A54" s="44"/>
      <c r="B54" s="49" t="s">
        <v>109</v>
      </c>
      <c r="C54" s="16">
        <v>32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59" t="s">
        <v>114</v>
      </c>
      <c r="R54" s="16">
        <f>SUM(C54:P54)</f>
        <v>32</v>
      </c>
    </row>
    <row r="55" spans="1:18" x14ac:dyDescent="0.3">
      <c r="A55" s="47"/>
      <c r="B55" s="48" t="s">
        <v>110</v>
      </c>
      <c r="C55" s="16">
        <v>50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59">
        <f t="shared" ref="Q55" si="14">R54/R55</f>
        <v>0.64</v>
      </c>
      <c r="R55" s="16">
        <f>SUM(C55:P55)</f>
        <v>50</v>
      </c>
    </row>
    <row r="59" spans="1:18" x14ac:dyDescent="0.3">
      <c r="A59" s="70" t="s">
        <v>117</v>
      </c>
      <c r="B59" s="71"/>
      <c r="C59" s="72" t="s">
        <v>95</v>
      </c>
      <c r="D59" s="72" t="s">
        <v>96</v>
      </c>
      <c r="E59" s="72" t="s">
        <v>97</v>
      </c>
      <c r="F59" s="72" t="s">
        <v>98</v>
      </c>
      <c r="G59" s="72" t="s">
        <v>99</v>
      </c>
      <c r="H59" s="72" t="s">
        <v>100</v>
      </c>
      <c r="I59" s="72" t="s">
        <v>101</v>
      </c>
      <c r="J59" s="72" t="s">
        <v>102</v>
      </c>
      <c r="K59" s="72" t="s">
        <v>103</v>
      </c>
      <c r="L59" s="72" t="s">
        <v>104</v>
      </c>
      <c r="M59" s="72" t="s">
        <v>105</v>
      </c>
      <c r="N59" s="72" t="s">
        <v>106</v>
      </c>
      <c r="O59" s="72" t="s">
        <v>107</v>
      </c>
      <c r="P59" s="73" t="s">
        <v>108</v>
      </c>
      <c r="Q59" s="74" t="s">
        <v>112</v>
      </c>
      <c r="R59" s="73" t="s">
        <v>113</v>
      </c>
    </row>
    <row r="60" spans="1:18" x14ac:dyDescent="0.3">
      <c r="A60" s="75" t="s">
        <v>70</v>
      </c>
      <c r="B60" s="76" t="s">
        <v>111</v>
      </c>
      <c r="C60" s="77" cm="1">
        <f t="array" ref="C60">_xlfn.IFS(C61="BYE",3,C61="",0,C61&gt;C62,3,C61=C62,2,C61&lt;C62,1,C61=WOF,3,C61=LOF,0)</f>
        <v>3</v>
      </c>
      <c r="D60" s="77" cm="1">
        <f t="array" ref="D60">_xlfn.IFS(D61="BYE",3,D61="",0,D61&gt;D62,3,D61=D62,2,D61&lt;D62,1,D61=WOF,3,D61=LOF,0)</f>
        <v>0</v>
      </c>
      <c r="E60" s="77" cm="1">
        <f t="array" ref="E60">_xlfn.IFS(E61="BYE",3,E61="",0,E61&gt;E62,3,E61=E62,2,E61&lt;E62,1,E61=WOF,3,E61=LOF,0)</f>
        <v>0</v>
      </c>
      <c r="F60" s="77" cm="1">
        <f t="array" ref="F60">_xlfn.IFS(F61="BYE",3,F61="",0,F61&gt;F62,3,F61=F62,2,F61&lt;F62,1,F61=WOF,3,F61=LOF,0)</f>
        <v>0</v>
      </c>
      <c r="G60" s="77" cm="1">
        <f t="array" ref="G60">_xlfn.IFS(G61="BYE",3,G61="",0,G61&gt;G62,3,G61=G62,2,G61&lt;G62,1,G61=WOF,3,G61=LOF,0)</f>
        <v>0</v>
      </c>
      <c r="H60" s="77" cm="1">
        <f t="array" ref="H60">_xlfn.IFS(H61="BYE",3,H61="",0,H61&gt;H62,3,H61=H62,2,H61&lt;H62,1,H61=WOF,3,H61=LOF,0)</f>
        <v>0</v>
      </c>
      <c r="I60" s="77" cm="1">
        <f t="array" ref="I60">_xlfn.IFS(I61="BYE",3,I61="",0,I61&gt;I62,3,I61=I62,2,I61&lt;I62,1,I61=WOF,3,I61=LOF,0)</f>
        <v>0</v>
      </c>
      <c r="J60" s="77" cm="1">
        <f t="array" ref="J60">_xlfn.IFS(J61="BYE",3,J61="",0,J61&gt;J62,3,J61=J62,2,J61&lt;J62,1,J61=WOF,3,J61=LOF,0)</f>
        <v>0</v>
      </c>
      <c r="K60" s="77" cm="1">
        <f t="array" ref="K60">_xlfn.IFS(K61="BYE",3,K61="",0,K61&gt;K62,3,K61=K62,2,K61&lt;K62,1,K61=WOF,3,K61=LOF,0)</f>
        <v>0</v>
      </c>
      <c r="L60" s="77" cm="1">
        <f t="array" ref="L60">_xlfn.IFS(L61="BYE",3,L61="",0,L61&gt;L62,3,L61=L62,2,L61&lt;L62,1,L61=WOF,3,L61=LOF,0)</f>
        <v>0</v>
      </c>
      <c r="M60" s="77" cm="1">
        <f t="array" ref="M60">_xlfn.IFS(M61="BYE",3,M61="",0,M61&gt;M62,3,M61=M62,2,M61&lt;M62,1,M61=WOF,3,M61=LOF,0)</f>
        <v>0</v>
      </c>
      <c r="N60" s="77" cm="1">
        <f t="array" ref="N60">_xlfn.IFS(N61="BYE",3,N61="",0,N61&gt;N62,3,N61=N62,2,N61&lt;N62,1,N61=WOF,3,N61=LOF,0)</f>
        <v>0</v>
      </c>
      <c r="O60" s="77" cm="1">
        <f t="array" ref="O60">_xlfn.IFS(O61="BYE",3,O61="",0,O61&gt;O62,3,O61=O62,2,O61&lt;O62,1,O61=WOF,3,O61=LOF,0)</f>
        <v>0</v>
      </c>
      <c r="P60" s="77" cm="1">
        <f t="array" ref="P60">_xlfn.IFS(P61="BYE",3,P61="",0,P61&gt;P62,3,P61=P62,2,P61&lt;P62,1,P61=WOF,3,P61=LOF,0)</f>
        <v>0</v>
      </c>
      <c r="Q60" s="78"/>
      <c r="R60" s="77">
        <f>SUM(C60:P60)-Q60</f>
        <v>3</v>
      </c>
    </row>
    <row r="61" spans="1:18" x14ac:dyDescent="0.3">
      <c r="A61" s="44"/>
      <c r="B61" s="49" t="s">
        <v>109</v>
      </c>
      <c r="C61" s="16">
        <v>56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59" t="s">
        <v>114</v>
      </c>
      <c r="R61" s="16">
        <f>SUM(C61:P61)</f>
        <v>56</v>
      </c>
    </row>
    <row r="62" spans="1:18" x14ac:dyDescent="0.3">
      <c r="A62" s="45"/>
      <c r="B62" s="48" t="s">
        <v>110</v>
      </c>
      <c r="C62" s="16">
        <v>45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59">
        <f>R61/R62</f>
        <v>1.2444444444444445</v>
      </c>
      <c r="R62" s="16">
        <f>SUM(C62:P62)</f>
        <v>45</v>
      </c>
    </row>
    <row r="63" spans="1:18" x14ac:dyDescent="0.3">
      <c r="A63" s="75" t="s">
        <v>71</v>
      </c>
      <c r="B63" s="76" t="s">
        <v>111</v>
      </c>
      <c r="C63" s="77" cm="1">
        <f t="array" ref="C63">_xlfn.IFS(C64="BYE",3,C64="",0,C64&gt;C65,3,C64=C65,2,C64&lt;C65,1,C64=WOF,3,C64=LOF,0)</f>
        <v>3</v>
      </c>
      <c r="D63" s="77" cm="1">
        <f t="array" ref="D63">_xlfn.IFS(D64="BYE",3,D64="",0,D64&gt;D65,3,D64=D65,2,D64&lt;D65,1,D64=WOF,3,D64=LOF,0)</f>
        <v>0</v>
      </c>
      <c r="E63" s="77" cm="1">
        <f t="array" ref="E63">_xlfn.IFS(E64="BYE",3,E64="",0,E64&gt;E65,3,E64=E65,2,E64&lt;E65,1,E64=WOF,3,E64=LOF,0)</f>
        <v>0</v>
      </c>
      <c r="F63" s="77" cm="1">
        <f t="array" ref="F63">_xlfn.IFS(F64="BYE",3,F64="",0,F64&gt;F65,3,F64=F65,2,F64&lt;F65,1,F64=WOF,3,F64=LOF,0)</f>
        <v>0</v>
      </c>
      <c r="G63" s="77" cm="1">
        <f t="array" ref="G63">_xlfn.IFS(G64="BYE",3,G64="",0,G64&gt;G65,3,G64=G65,2,G64&lt;G65,1,G64=WOF,3,G64=LOF,0)</f>
        <v>0</v>
      </c>
      <c r="H63" s="77" cm="1">
        <f t="array" ref="H63">_xlfn.IFS(H64="BYE",3,H64="",0,H64&gt;H65,3,H64=H65,2,H64&lt;H65,1,H64=WOF,3,H64=LOF,0)</f>
        <v>0</v>
      </c>
      <c r="I63" s="77" cm="1">
        <f t="array" ref="I63">_xlfn.IFS(I64="BYE",3,I64="",0,I64&gt;I65,3,I64=I65,2,I64&lt;I65,1,I64=WOF,3,I64=LOF,0)</f>
        <v>0</v>
      </c>
      <c r="J63" s="77" cm="1">
        <f t="array" ref="J63">_xlfn.IFS(J64="BYE",3,J64="",0,J64&gt;J65,3,J64=J65,2,J64&lt;J65,1,J64=WOF,3,J64=LOF,0)</f>
        <v>0</v>
      </c>
      <c r="K63" s="77" cm="1">
        <f t="array" ref="K63">_xlfn.IFS(K64="BYE",3,K64="",0,K64&gt;K65,3,K64=K65,2,K64&lt;K65,1,K64=WOF,3,K64=LOF,0)</f>
        <v>0</v>
      </c>
      <c r="L63" s="77" cm="1">
        <f t="array" ref="L63">_xlfn.IFS(L64="BYE",3,L64="",0,L64&gt;L65,3,L64=L65,2,L64&lt;L65,1,L64=WOF,3,L64=LOF,0)</f>
        <v>0</v>
      </c>
      <c r="M63" s="77" cm="1">
        <f t="array" ref="M63">_xlfn.IFS(M64="BYE",3,M64="",0,M64&gt;M65,3,M64=M65,2,M64&lt;M65,1,M64=WOF,3,M64=LOF,0)</f>
        <v>0</v>
      </c>
      <c r="N63" s="77" cm="1">
        <f t="array" ref="N63">_xlfn.IFS(N64="BYE",3,N64="",0,N64&gt;N65,3,N64=N65,2,N64&lt;N65,1,N64=WOF,3,N64=LOF,0)</f>
        <v>0</v>
      </c>
      <c r="O63" s="77" cm="1">
        <f t="array" ref="O63">_xlfn.IFS(O64="BYE",3,O64="",0,O64&gt;O65,3,O64=O65,2,O64&lt;O65,1,O64=WOF,3,O64=LOF,0)</f>
        <v>0</v>
      </c>
      <c r="P63" s="77" cm="1">
        <f t="array" ref="P63">_xlfn.IFS(P64="BYE",3,P64="",0,P64&gt;P65,3,P64=P65,2,P64&lt;P65,1,P64=WOF,3,P64=LOF,0)</f>
        <v>0</v>
      </c>
      <c r="Q63" s="78"/>
      <c r="R63" s="77">
        <f>SUM(C63:P63)-Q63</f>
        <v>3</v>
      </c>
    </row>
    <row r="64" spans="1:18" x14ac:dyDescent="0.3">
      <c r="A64" s="46"/>
      <c r="B64" s="49" t="s">
        <v>109</v>
      </c>
      <c r="C64" s="16" t="s">
        <v>119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59" t="s">
        <v>114</v>
      </c>
      <c r="R64" s="16">
        <f>SUM(C64:P64)</f>
        <v>0</v>
      </c>
    </row>
    <row r="65" spans="1:18" x14ac:dyDescent="0.3">
      <c r="A65" s="44"/>
      <c r="B65" s="48" t="s">
        <v>110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59" t="e">
        <f t="shared" ref="Q65" si="15">R64/R65</f>
        <v>#DIV/0!</v>
      </c>
      <c r="R65" s="16">
        <f>SUM(C65:P65)</f>
        <v>0</v>
      </c>
    </row>
    <row r="66" spans="1:18" x14ac:dyDescent="0.3">
      <c r="A66" s="75" t="s">
        <v>72</v>
      </c>
      <c r="B66" s="76" t="s">
        <v>111</v>
      </c>
      <c r="C66" s="77" cm="1">
        <f t="array" ref="C66">_xlfn.IFS(C67="BYE",3,C67="",0,C67&gt;C68,3,C67=C68,2,C67&lt;C68,1,C67=WOF,3,C67=LOF,0)</f>
        <v>1</v>
      </c>
      <c r="D66" s="77" cm="1">
        <f t="array" ref="D66">_xlfn.IFS(D67="BYE",3,D67="",0,D67&gt;D68,3,D67=D68,2,D67&lt;D68,1,D67=WOF,3,D67=LOF,0)</f>
        <v>0</v>
      </c>
      <c r="E66" s="77" cm="1">
        <f t="array" ref="E66">_xlfn.IFS(E67="BYE",3,E67="",0,E67&gt;E68,3,E67=E68,2,E67&lt;E68,1,E67=WOF,3,E67=LOF,0)</f>
        <v>0</v>
      </c>
      <c r="F66" s="77" cm="1">
        <f t="array" ref="F66">_xlfn.IFS(F67="BYE",3,F67="",0,F67&gt;F68,3,F67=F68,2,F67&lt;F68,1,F67=WOF,3,F67=LOF,0)</f>
        <v>0</v>
      </c>
      <c r="G66" s="77" cm="1">
        <f t="array" ref="G66">_xlfn.IFS(G67="BYE",3,G67="",0,G67&gt;G68,3,G67=G68,2,G67&lt;G68,1,G67=WOF,3,G67=LOF,0)</f>
        <v>0</v>
      </c>
      <c r="H66" s="77" cm="1">
        <f t="array" ref="H66">_xlfn.IFS(H67="BYE",3,H67="",0,H67&gt;H68,3,H67=H68,2,H67&lt;H68,1,H67=WOF,3,H67=LOF,0)</f>
        <v>0</v>
      </c>
      <c r="I66" s="77" cm="1">
        <f t="array" ref="I66">_xlfn.IFS(I67="BYE",3,I67="",0,I67&gt;I68,3,I67=I68,2,I67&lt;I68,1,I67=WOF,3,I67=LOF,0)</f>
        <v>0</v>
      </c>
      <c r="J66" s="77" cm="1">
        <f t="array" ref="J66">_xlfn.IFS(J67="BYE",3,J67="",0,J67&gt;J68,3,J67=J68,2,J67&lt;J68,1,J67=WOF,3,J67=LOF,0)</f>
        <v>0</v>
      </c>
      <c r="K66" s="77" cm="1">
        <f t="array" ref="K66">_xlfn.IFS(K67="BYE",3,K67="",0,K67&gt;K68,3,K67=K68,2,K67&lt;K68,1,K67=WOF,3,K67=LOF,0)</f>
        <v>0</v>
      </c>
      <c r="L66" s="77" cm="1">
        <f t="array" ref="L66">_xlfn.IFS(L67="BYE",3,L67="",0,L67&gt;L68,3,L67=L68,2,L67&lt;L68,1,L67=WOF,3,L67=LOF,0)</f>
        <v>0</v>
      </c>
      <c r="M66" s="77" cm="1">
        <f t="array" ref="M66">_xlfn.IFS(M67="BYE",3,M67="",0,M67&gt;M68,3,M67=M68,2,M67&lt;M68,1,M67=WOF,3,M67=LOF,0)</f>
        <v>0</v>
      </c>
      <c r="N66" s="77" cm="1">
        <f t="array" ref="N66">_xlfn.IFS(N67="BYE",3,N67="",0,N67&gt;N68,3,N67=N68,2,N67&lt;N68,1,N67=WOF,3,N67=LOF,0)</f>
        <v>0</v>
      </c>
      <c r="O66" s="77" cm="1">
        <f t="array" ref="O66">_xlfn.IFS(O67="BYE",3,O67="",0,O67&gt;O68,3,O67=O68,2,O67&lt;O68,1,O67=WOF,3,O67=LOF,0)</f>
        <v>0</v>
      </c>
      <c r="P66" s="77" cm="1">
        <f t="array" ref="P66">_xlfn.IFS(P67="BYE",3,P67="",0,P67&gt;P68,3,P67=P68,2,P67&lt;P68,1,P67=WOF,3,P67=LOF,0)</f>
        <v>0</v>
      </c>
      <c r="Q66" s="78"/>
      <c r="R66" s="77">
        <f>SUM(C66:P66)-Q66</f>
        <v>1</v>
      </c>
    </row>
    <row r="67" spans="1:18" x14ac:dyDescent="0.3">
      <c r="A67" s="44"/>
      <c r="B67" s="49" t="s">
        <v>109</v>
      </c>
      <c r="C67" s="16">
        <v>26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59" t="s">
        <v>114</v>
      </c>
      <c r="R67" s="16">
        <f>SUM(C67:P67)</f>
        <v>26</v>
      </c>
    </row>
    <row r="68" spans="1:18" x14ac:dyDescent="0.3">
      <c r="A68" s="45"/>
      <c r="B68" s="48" t="s">
        <v>110</v>
      </c>
      <c r="C68" s="16" t="s">
        <v>148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59" t="e">
        <f t="shared" ref="Q68" si="16">R67/R68</f>
        <v>#DIV/0!</v>
      </c>
      <c r="R68" s="16">
        <f>SUM(C68:P68)</f>
        <v>0</v>
      </c>
    </row>
    <row r="69" spans="1:18" x14ac:dyDescent="0.3">
      <c r="A69" s="75" t="s">
        <v>73</v>
      </c>
      <c r="B69" s="76" t="s">
        <v>111</v>
      </c>
      <c r="C69" s="77" cm="1">
        <f t="array" ref="C69">_xlfn.IFS(C70="BYE",3,C70="",0,C70&gt;C71,3,C70=C71,2,C70&lt;C71,1,C70=WOF,3,C70=LOF,0)</f>
        <v>3</v>
      </c>
      <c r="D69" s="77" cm="1">
        <f t="array" ref="D69">_xlfn.IFS(D70="BYE",3,D70="",0,D70&gt;D71,3,D70=D71,2,D70&lt;D71,1,D70=WOF,3,D70=LOF,0)</f>
        <v>0</v>
      </c>
      <c r="E69" s="77" cm="1">
        <f t="array" ref="E69">_xlfn.IFS(E70="BYE",3,E70="",0,E70&gt;E71,3,E70=E71,2,E70&lt;E71,1,E70=WOF,3,E70=LOF,0)</f>
        <v>0</v>
      </c>
      <c r="F69" s="77" cm="1">
        <f t="array" ref="F69">_xlfn.IFS(F70="BYE",3,F70="",0,F70&gt;F71,3,F70=F71,2,F70&lt;F71,1,F70=WOF,3,F70=LOF,0)</f>
        <v>0</v>
      </c>
      <c r="G69" s="77" cm="1">
        <f t="array" ref="G69">_xlfn.IFS(G70="BYE",3,G70="",0,G70&gt;G71,3,G70=G71,2,G70&lt;G71,1,G70=WOF,3,G70=LOF,0)</f>
        <v>0</v>
      </c>
      <c r="H69" s="77" cm="1">
        <f t="array" ref="H69">_xlfn.IFS(H70="BYE",3,H70="",0,H70&gt;H71,3,H70=H71,2,H70&lt;H71,1,H70=WOF,3,H70=LOF,0)</f>
        <v>0</v>
      </c>
      <c r="I69" s="77" cm="1">
        <f t="array" ref="I69">_xlfn.IFS(I70="BYE",3,I70="",0,I70&gt;I71,3,I70=I71,2,I70&lt;I71,1,I70=WOF,3,I70=LOF,0)</f>
        <v>0</v>
      </c>
      <c r="J69" s="77" cm="1">
        <f t="array" ref="J69">_xlfn.IFS(J70="BYE",3,J70="",0,J70&gt;J71,3,J70=J71,2,J70&lt;J71,1,J70=WOF,3,J70=LOF,0)</f>
        <v>0</v>
      </c>
      <c r="K69" s="77" cm="1">
        <f t="array" ref="K69">_xlfn.IFS(K70="BYE",3,K70="",0,K70&gt;K71,3,K70=K71,2,K70&lt;K71,1,K70=WOF,3,K70=LOF,0)</f>
        <v>0</v>
      </c>
      <c r="L69" s="77" cm="1">
        <f t="array" ref="L69">_xlfn.IFS(L70="BYE",3,L70="",0,L70&gt;L71,3,L70=L71,2,L70&lt;L71,1,L70=WOF,3,L70=LOF,0)</f>
        <v>0</v>
      </c>
      <c r="M69" s="77" cm="1">
        <f t="array" ref="M69">_xlfn.IFS(M70="BYE",3,M70="",0,M70&gt;M71,3,M70=M71,2,M70&lt;M71,1,M70=WOF,3,M70=LOF,0)</f>
        <v>0</v>
      </c>
      <c r="N69" s="77" cm="1">
        <f t="array" ref="N69">_xlfn.IFS(N70="BYE",3,N70="",0,N70&gt;N71,3,N70=N71,2,N70&lt;N71,1,N70=WOF,3,N70=LOF,0)</f>
        <v>0</v>
      </c>
      <c r="O69" s="77" cm="1">
        <f t="array" ref="O69">_xlfn.IFS(O70="BYE",3,O70="",0,O70&gt;O71,3,O70=O71,2,O70&lt;O71,1,O70=WOF,3,O70=LOF,0)</f>
        <v>0</v>
      </c>
      <c r="P69" s="77" cm="1">
        <f t="array" ref="P69">_xlfn.IFS(P70="BYE",3,P70="",0,P70&gt;P71,3,P70=P71,2,P70&lt;P71,1,P70=WOF,3,P70=LOF,0)</f>
        <v>0</v>
      </c>
      <c r="Q69" s="78"/>
      <c r="R69" s="77">
        <f>SUM(C69:P69)-Q69</f>
        <v>3</v>
      </c>
    </row>
    <row r="70" spans="1:18" x14ac:dyDescent="0.3">
      <c r="A70" s="46"/>
      <c r="B70" s="49" t="s">
        <v>109</v>
      </c>
      <c r="C70" s="16" t="s">
        <v>119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59" t="s">
        <v>114</v>
      </c>
      <c r="R70" s="16">
        <f>SUM(C70:P70)</f>
        <v>0</v>
      </c>
    </row>
    <row r="71" spans="1:18" x14ac:dyDescent="0.3">
      <c r="A71" s="44"/>
      <c r="B71" s="48" t="s">
        <v>110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59" t="e">
        <f t="shared" ref="Q71" si="17">R70/R71</f>
        <v>#DIV/0!</v>
      </c>
      <c r="R71" s="16">
        <f>SUM(C71:P71)</f>
        <v>0</v>
      </c>
    </row>
    <row r="72" spans="1:18" x14ac:dyDescent="0.3">
      <c r="A72" s="75" t="s">
        <v>74</v>
      </c>
      <c r="B72" s="76" t="s">
        <v>111</v>
      </c>
      <c r="C72" s="77" cm="1">
        <f t="array" ref="C72">_xlfn.IFS(C73="BYE",3,C73="",0,C73&gt;C74,3,C73=C74,2,C73&lt;C74,1,C73=WOF,3,C73=LOF,0)</f>
        <v>1</v>
      </c>
      <c r="D72" s="77" cm="1">
        <f t="array" ref="D72">_xlfn.IFS(D73="BYE",3,D73="",0,D73&gt;D74,3,D73=D74,2,D73&lt;D74,1,D73=WOF,3,D73=LOF,0)</f>
        <v>0</v>
      </c>
      <c r="E72" s="77" cm="1">
        <f t="array" ref="E72">_xlfn.IFS(E73="BYE",3,E73="",0,E73&gt;E74,3,E73=E74,2,E73&lt;E74,1,E73=WOF,3,E73=LOF,0)</f>
        <v>0</v>
      </c>
      <c r="F72" s="77" cm="1">
        <f t="array" ref="F72">_xlfn.IFS(F73="BYE",3,F73="",0,F73&gt;F74,3,F73=F74,2,F73&lt;F74,1,F73=WOF,3,F73=LOF,0)</f>
        <v>0</v>
      </c>
      <c r="G72" s="77" cm="1">
        <f t="array" ref="G72">_xlfn.IFS(G73="BYE",3,G73="",0,G73&gt;G74,3,G73=G74,2,G73&lt;G74,1,G73=WOF,3,G73=LOF,0)</f>
        <v>0</v>
      </c>
      <c r="H72" s="77" cm="1">
        <f t="array" ref="H72">_xlfn.IFS(H73="BYE",3,H73="",0,H73&gt;H74,3,H73=H74,2,H73&lt;H74,1,H73=WOF,3,H73=LOF,0)</f>
        <v>0</v>
      </c>
      <c r="I72" s="77" cm="1">
        <f t="array" ref="I72">_xlfn.IFS(I73="BYE",3,I73="",0,I73&gt;I74,3,I73=I74,2,I73&lt;I74,1,I73=WOF,3,I73=LOF,0)</f>
        <v>0</v>
      </c>
      <c r="J72" s="77" cm="1">
        <f t="array" ref="J72">_xlfn.IFS(J73="BYE",3,J73="",0,J73&gt;J74,3,J73=J74,2,J73&lt;J74,1,J73=WOF,3,J73=LOF,0)</f>
        <v>0</v>
      </c>
      <c r="K72" s="77" cm="1">
        <f t="array" ref="K72">_xlfn.IFS(K73="BYE",3,K73="",0,K73&gt;K74,3,K73=K74,2,K73&lt;K74,1,K73=WOF,3,K73=LOF,0)</f>
        <v>0</v>
      </c>
      <c r="L72" s="77" cm="1">
        <f t="array" ref="L72">_xlfn.IFS(L73="BYE",3,L73="",0,L73&gt;L74,3,L73=L74,2,L73&lt;L74,1,L73=WOF,3,L73=LOF,0)</f>
        <v>0</v>
      </c>
      <c r="M72" s="77" cm="1">
        <f t="array" ref="M72">_xlfn.IFS(M73="BYE",3,M73="",0,M73&gt;M74,3,M73=M74,2,M73&lt;M74,1,M73=WOF,3,M73=LOF,0)</f>
        <v>0</v>
      </c>
      <c r="N72" s="77" cm="1">
        <f t="array" ref="N72">_xlfn.IFS(N73="BYE",3,N73="",0,N73&gt;N74,3,N73=N74,2,N73&lt;N74,1,N73=WOF,3,N73=LOF,0)</f>
        <v>0</v>
      </c>
      <c r="O72" s="77" cm="1">
        <f t="array" ref="O72">_xlfn.IFS(O73="BYE",3,O73="",0,O73&gt;O74,3,O73=O74,2,O73&lt;O74,1,O73=WOF,3,O73=LOF,0)</f>
        <v>0</v>
      </c>
      <c r="P72" s="77" cm="1">
        <f t="array" ref="P72">_xlfn.IFS(P73="BYE",3,P73="",0,P73&gt;P74,3,P73=P74,2,P73&lt;P74,1,P73=WOF,3,P73=LOF,0)</f>
        <v>0</v>
      </c>
      <c r="Q72" s="78"/>
      <c r="R72" s="77">
        <f>SUM(C72:P72)-Q72</f>
        <v>1</v>
      </c>
    </row>
    <row r="73" spans="1:18" x14ac:dyDescent="0.3">
      <c r="A73" s="44"/>
      <c r="B73" s="49" t="s">
        <v>109</v>
      </c>
      <c r="C73" s="16">
        <v>45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59" t="s">
        <v>114</v>
      </c>
      <c r="R73" s="16">
        <f>SUM(C73:P73)</f>
        <v>45</v>
      </c>
    </row>
    <row r="74" spans="1:18" x14ac:dyDescent="0.3">
      <c r="A74" s="47"/>
      <c r="B74" s="48" t="s">
        <v>110</v>
      </c>
      <c r="C74" s="16">
        <v>56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59">
        <f t="shared" ref="Q74" si="18">R73/R74</f>
        <v>0.8035714285714286</v>
      </c>
      <c r="R74" s="16">
        <f>SUM(C74:P74)</f>
        <v>56</v>
      </c>
    </row>
    <row r="75" spans="1:18" x14ac:dyDescent="0.3">
      <c r="A75" s="75" t="s">
        <v>75</v>
      </c>
      <c r="B75" s="76" t="s">
        <v>111</v>
      </c>
      <c r="C75" s="77" cm="1">
        <f t="array" ref="C75">_xlfn.IFS(C76="BYE",3,C76="",0,C76&gt;C77,3,C76=C77,2,C76&lt;C77,1,C76=WOF,3,C76=LOF,0)</f>
        <v>3</v>
      </c>
      <c r="D75" s="77" cm="1">
        <f t="array" ref="D75">_xlfn.IFS(D76="BYE",3,D76="",0,D76&gt;D77,3,D76=D77,2,D76&lt;D77,1,D76=WOF,3,D76=LOF,0)</f>
        <v>0</v>
      </c>
      <c r="E75" s="77" cm="1">
        <f t="array" ref="E75">_xlfn.IFS(E76="BYE",3,E76="",0,E76&gt;E77,3,E76=E77,2,E76&lt;E77,1,E76=WOF,3,E76=LOF,0)</f>
        <v>0</v>
      </c>
      <c r="F75" s="77" cm="1">
        <f t="array" ref="F75">_xlfn.IFS(F76="BYE",3,F76="",0,F76&gt;F77,3,F76=F77,2,F76&lt;F77,1,F76=WOF,3,F76=LOF,0)</f>
        <v>0</v>
      </c>
      <c r="G75" s="77" cm="1">
        <f t="array" ref="G75">_xlfn.IFS(G76="BYE",3,G76="",0,G76&gt;G77,3,G76=G77,2,G76&lt;G77,1,G76=WOF,3,G76=LOF,0)</f>
        <v>0</v>
      </c>
      <c r="H75" s="77" cm="1">
        <f t="array" ref="H75">_xlfn.IFS(H76="BYE",3,H76="",0,H76&gt;H77,3,H76=H77,2,H76&lt;H77,1,H76=WOF,3,H76=LOF,0)</f>
        <v>0</v>
      </c>
      <c r="I75" s="77" cm="1">
        <f t="array" ref="I75">_xlfn.IFS(I76="BYE",3,I76="",0,I76&gt;I77,3,I76=I77,2,I76&lt;I77,1,I76=WOF,3,I76=LOF,0)</f>
        <v>0</v>
      </c>
      <c r="J75" s="77" cm="1">
        <f t="array" ref="J75">_xlfn.IFS(J76="BYE",3,J76="",0,J76&gt;J77,3,J76=J77,2,J76&lt;J77,1,J76=WOF,3,J76=LOF,0)</f>
        <v>0</v>
      </c>
      <c r="K75" s="77" cm="1">
        <f t="array" ref="K75">_xlfn.IFS(K76="BYE",3,K76="",0,K76&gt;K77,3,K76=K77,2,K76&lt;K77,1,K76=WOF,3,K76=LOF,0)</f>
        <v>0</v>
      </c>
      <c r="L75" s="77" cm="1">
        <f t="array" ref="L75">_xlfn.IFS(L76="BYE",3,L76="",0,L76&gt;L77,3,L76=L77,2,L76&lt;L77,1,L76=WOF,3,L76=LOF,0)</f>
        <v>0</v>
      </c>
      <c r="M75" s="77" cm="1">
        <f t="array" ref="M75">_xlfn.IFS(M76="BYE",3,M76="",0,M76&gt;M77,3,M76=M77,2,M76&lt;M77,1,M76=WOF,3,M76=LOF,0)</f>
        <v>0</v>
      </c>
      <c r="N75" s="77" cm="1">
        <f t="array" ref="N75">_xlfn.IFS(N76="BYE",3,N76="",0,N76&gt;N77,3,N76=N77,2,N76&lt;N77,1,N76=WOF,3,N76=LOF,0)</f>
        <v>0</v>
      </c>
      <c r="O75" s="77" cm="1">
        <f t="array" ref="O75">_xlfn.IFS(O76="BYE",3,O76="",0,O76&gt;O77,3,O76=O77,2,O76&lt;O77,1,O76=WOF,3,O76=LOF,0)</f>
        <v>0</v>
      </c>
      <c r="P75" s="77" cm="1">
        <f t="array" ref="P75">_xlfn.IFS(P76="BYE",3,P76="",0,P76&gt;P77,3,P76=P77,2,P76&lt;P77,1,P76=WOF,3,P76=LOF,0)</f>
        <v>0</v>
      </c>
      <c r="Q75" s="78"/>
      <c r="R75" s="77">
        <f>SUM(C75:P75)-Q75</f>
        <v>3</v>
      </c>
    </row>
    <row r="76" spans="1:18" x14ac:dyDescent="0.3">
      <c r="A76" s="44"/>
      <c r="B76" s="49" t="s">
        <v>109</v>
      </c>
      <c r="C76" s="16" t="s">
        <v>118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59" t="s">
        <v>114</v>
      </c>
      <c r="R76" s="16">
        <f>SUM(C76:P76)</f>
        <v>0</v>
      </c>
    </row>
    <row r="77" spans="1:18" x14ac:dyDescent="0.3">
      <c r="A77" s="46"/>
      <c r="B77" s="48" t="s">
        <v>110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59" t="e">
        <f t="shared" ref="Q77" si="19">R76/R77</f>
        <v>#DIV/0!</v>
      </c>
      <c r="R77" s="16">
        <f>SUM(C77:P77)</f>
        <v>0</v>
      </c>
    </row>
    <row r="78" spans="1:18" x14ac:dyDescent="0.3">
      <c r="A78" s="75" t="s">
        <v>77</v>
      </c>
      <c r="B78" s="76" t="s">
        <v>111</v>
      </c>
      <c r="C78" s="77" cm="1">
        <f t="array" ref="C78">_xlfn.IFS(C79="BYE",3,C79="",0,C79&gt;C80,3,C79=C80,2,C79&lt;C80,1,C79=WOF,3,C79=LOF,0)</f>
        <v>3</v>
      </c>
      <c r="D78" s="77" cm="1">
        <f t="array" ref="D78">_xlfn.IFS(D79="BYE",3,D79="",0,D79&gt;D80,3,D79=D80,2,D79&lt;D80,1,D79=WOF,3,D79=LOF,0)</f>
        <v>0</v>
      </c>
      <c r="E78" s="77" cm="1">
        <f t="array" ref="E78">_xlfn.IFS(E79="BYE",3,E79="",0,E79&gt;E80,3,E79=E80,2,E79&lt;E80,1,E79=WOF,3,E79=LOF,0)</f>
        <v>0</v>
      </c>
      <c r="F78" s="77" cm="1">
        <f t="array" ref="F78">_xlfn.IFS(F79="BYE",3,F79="",0,F79&gt;F80,3,F79=F80,2,F79&lt;F80,1,F79=WOF,3,F79=LOF,0)</f>
        <v>0</v>
      </c>
      <c r="G78" s="77" cm="1">
        <f t="array" ref="G78">_xlfn.IFS(G79="BYE",3,G79="",0,G79&gt;G80,3,G79=G80,2,G79&lt;G80,1,G79=WOF,3,G79=LOF,0)</f>
        <v>0</v>
      </c>
      <c r="H78" s="77" cm="1">
        <f t="array" ref="H78">_xlfn.IFS(H79="BYE",3,H79="",0,H79&gt;H80,3,H79=H80,2,H79&lt;H80,1,H79=WOF,3,H79=LOF,0)</f>
        <v>0</v>
      </c>
      <c r="I78" s="77" cm="1">
        <f t="array" ref="I78">_xlfn.IFS(I79="BYE",3,I79="",0,I79&gt;I80,3,I79=I80,2,I79&lt;I80,1,I79=WOF,3,I79=LOF,0)</f>
        <v>0</v>
      </c>
      <c r="J78" s="77" cm="1">
        <f t="array" ref="J78">_xlfn.IFS(J79="BYE",3,J79="",0,J79&gt;J80,3,J79=J80,2,J79&lt;J80,1,J79=WOF,3,J79=LOF,0)</f>
        <v>0</v>
      </c>
      <c r="K78" s="77" cm="1">
        <f t="array" ref="K78">_xlfn.IFS(K79="BYE",3,K79="",0,K79&gt;K80,3,K79=K80,2,K79&lt;K80,1,K79=WOF,3,K79=LOF,0)</f>
        <v>0</v>
      </c>
      <c r="L78" s="77" cm="1">
        <f t="array" ref="L78">_xlfn.IFS(L79="BYE",3,L79="",0,L79&gt;L80,3,L79=L80,2,L79&lt;L80,1,L79=WOF,3,L79=LOF,0)</f>
        <v>0</v>
      </c>
      <c r="M78" s="77" cm="1">
        <f t="array" ref="M78">_xlfn.IFS(M79="BYE",3,M79="",0,M79&gt;M80,3,M79=M80,2,M79&lt;M80,1,M79=WOF,3,M79=LOF,0)</f>
        <v>0</v>
      </c>
      <c r="N78" s="77" cm="1">
        <f t="array" ref="N78">_xlfn.IFS(N79="BYE",3,N79="",0,N79&gt;N80,3,N79=N80,2,N79&lt;N80,1,N79=WOF,3,N79=LOF,0)</f>
        <v>0</v>
      </c>
      <c r="O78" s="77" cm="1">
        <f t="array" ref="O78">_xlfn.IFS(O79="BYE",3,O79="",0,O79&gt;O80,3,O79=O80,2,O79&lt;O80,1,O79=WOF,3,O79=LOF,0)</f>
        <v>0</v>
      </c>
      <c r="P78" s="77" cm="1">
        <f t="array" ref="P78">_xlfn.IFS(P79="BYE",3,P79="",0,P79&gt;P80,3,P79=P80,2,P79&lt;P80,1,P79=WOF,3,P79=LOF,0)</f>
        <v>0</v>
      </c>
      <c r="Q78" s="78"/>
      <c r="R78" s="77">
        <f>SUM(C78:P78)-Q78</f>
        <v>3</v>
      </c>
    </row>
    <row r="79" spans="1:18" x14ac:dyDescent="0.3">
      <c r="A79" s="46"/>
      <c r="B79" s="49" t="s">
        <v>109</v>
      </c>
      <c r="C79" s="16">
        <v>70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59" t="s">
        <v>114</v>
      </c>
      <c r="R79" s="16">
        <f>SUM(C79:P79)</f>
        <v>70</v>
      </c>
    </row>
    <row r="80" spans="1:18" x14ac:dyDescent="0.3">
      <c r="A80" s="47"/>
      <c r="B80" s="48" t="s">
        <v>110</v>
      </c>
      <c r="C80" s="16">
        <v>26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59">
        <f t="shared" ref="Q80" si="20">R79/R80</f>
        <v>2.6923076923076925</v>
      </c>
      <c r="R80" s="16">
        <f>SUM(C80:P80)</f>
        <v>26</v>
      </c>
    </row>
    <row r="81" spans="1:18" x14ac:dyDescent="0.3">
      <c r="A81" s="75" t="s">
        <v>76</v>
      </c>
      <c r="B81" s="76" t="s">
        <v>111</v>
      </c>
      <c r="C81" s="77" cm="1">
        <f t="array" ref="C81">_xlfn.IFS(C82="BYE",3,C82="",0,C82&gt;C83,3,C82=C83,2,C82&lt;C83,1,C82=WOF,3,C82=LOF,0)</f>
        <v>3</v>
      </c>
      <c r="D81" s="77" cm="1">
        <f t="array" ref="D81">_xlfn.IFS(D82="BYE",3,D82="",0,D82&gt;D83,3,D82=D83,2,D82&lt;D83,1,D82=WOF,3,D82=LOF,0)</f>
        <v>0</v>
      </c>
      <c r="E81" s="77" cm="1">
        <f t="array" ref="E81">_xlfn.IFS(E82="BYE",3,E82="",0,E82&gt;E83,3,E82=E83,2,E82&lt;E83,1,E82=WOF,3,E82=LOF,0)</f>
        <v>0</v>
      </c>
      <c r="F81" s="77" cm="1">
        <f t="array" ref="F81">_xlfn.IFS(F82="BYE",3,F82="",0,F82&gt;F83,3,F82=F83,2,F82&lt;F83,1,F82=WOF,3,F82=LOF,0)</f>
        <v>0</v>
      </c>
      <c r="G81" s="77" cm="1">
        <f t="array" ref="G81">_xlfn.IFS(G82="BYE",3,G82="",0,G82&gt;G83,3,G82=G83,2,G82&lt;G83,1,G82=WOF,3,G82=LOF,0)</f>
        <v>0</v>
      </c>
      <c r="H81" s="77" cm="1">
        <f t="array" ref="H81">_xlfn.IFS(H82="BYE",3,H82="",0,H82&gt;H83,3,H82=H83,2,H82&lt;H83,1,H82=WOF,3,H82=LOF,0)</f>
        <v>0</v>
      </c>
      <c r="I81" s="77" cm="1">
        <f t="array" ref="I81">_xlfn.IFS(I82="BYE",3,I82="",0,I82&gt;I83,3,I82=I83,2,I82&lt;I83,1,I82=WOF,3,I82=LOF,0)</f>
        <v>0</v>
      </c>
      <c r="J81" s="77" cm="1">
        <f t="array" ref="J81">_xlfn.IFS(J82="BYE",3,J82="",0,J82&gt;J83,3,J82=J83,2,J82&lt;J83,1,J82=WOF,3,J82=LOF,0)</f>
        <v>0</v>
      </c>
      <c r="K81" s="77" cm="1">
        <f t="array" ref="K81">_xlfn.IFS(K82="BYE",3,K82="",0,K82&gt;K83,3,K82=K83,2,K82&lt;K83,1,K82=WOF,3,K82=LOF,0)</f>
        <v>0</v>
      </c>
      <c r="L81" s="77" cm="1">
        <f t="array" ref="L81">_xlfn.IFS(L82="BYE",3,L82="",0,L82&gt;L83,3,L82=L83,2,L82&lt;L83,1,L82=WOF,3,L82=LOF,0)</f>
        <v>0</v>
      </c>
      <c r="M81" s="77" cm="1">
        <f t="array" ref="M81">_xlfn.IFS(M82="BYE",3,M82="",0,M82&gt;M83,3,M82=M83,2,M82&lt;M83,1,M82=WOF,3,M82=LOF,0)</f>
        <v>0</v>
      </c>
      <c r="N81" s="77" cm="1">
        <f t="array" ref="N81">_xlfn.IFS(N82="BYE",3,N82="",0,N82&gt;N83,3,N82=N83,2,N82&lt;N83,1,N82=WOF,3,N82=LOF,0)</f>
        <v>0</v>
      </c>
      <c r="O81" s="77" cm="1">
        <f t="array" ref="O81">_xlfn.IFS(O82="BYE",3,O82="",0,O82&gt;O83,3,O82=O83,2,O82&lt;O83,1,O82=WOF,3,O82=LOF,0)</f>
        <v>0</v>
      </c>
      <c r="P81" s="77" cm="1">
        <f t="array" ref="P81">_xlfn.IFS(P82="BYE",3,P82="",0,P82&gt;P83,3,P82=P83,2,P82&lt;P83,1,P82=WOF,3,P82=LOF,0)</f>
        <v>0</v>
      </c>
      <c r="Q81" s="78"/>
      <c r="R81" s="77">
        <f>SUM(C81:P81)-Q81</f>
        <v>3</v>
      </c>
    </row>
    <row r="82" spans="1:18" x14ac:dyDescent="0.3">
      <c r="A82" s="44"/>
      <c r="B82" s="49" t="s">
        <v>109</v>
      </c>
      <c r="C82" s="16" t="s">
        <v>118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59" t="s">
        <v>114</v>
      </c>
      <c r="R82" s="16">
        <f>SUM(C82:P82)</f>
        <v>0</v>
      </c>
    </row>
    <row r="83" spans="1:18" x14ac:dyDescent="0.3">
      <c r="A83" s="47"/>
      <c r="B83" s="48" t="s">
        <v>110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59" t="e">
        <f t="shared" ref="Q83" si="21">R82/R83</f>
        <v>#DIV/0!</v>
      </c>
      <c r="R83" s="16">
        <f>SUM(C83:P83)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DEF4-70BD-4876-8055-2A86D945DE90}">
  <dimension ref="A1:L51"/>
  <sheetViews>
    <sheetView topLeftCell="A27" workbookViewId="0">
      <selection activeCell="I40" sqref="I40"/>
    </sheetView>
  </sheetViews>
  <sheetFormatPr defaultRowHeight="14.4" x14ac:dyDescent="0.3"/>
  <cols>
    <col min="1" max="1" width="5.77734375" style="20" customWidth="1"/>
    <col min="2" max="10" width="13.88671875" style="20" customWidth="1"/>
  </cols>
  <sheetData>
    <row r="1" spans="1:10" x14ac:dyDescent="0.3">
      <c r="A1" s="79" t="s">
        <v>93</v>
      </c>
      <c r="B1" s="80"/>
      <c r="C1" s="80"/>
      <c r="D1" s="80"/>
      <c r="E1" s="80"/>
      <c r="F1" s="80"/>
      <c r="G1" s="80"/>
      <c r="H1" s="80"/>
      <c r="I1" s="80"/>
      <c r="J1" s="81"/>
    </row>
    <row r="2" spans="1:10" x14ac:dyDescent="0.3">
      <c r="A2" s="16"/>
      <c r="B2" s="4" t="s">
        <v>79</v>
      </c>
      <c r="C2" s="4" t="s">
        <v>80</v>
      </c>
      <c r="D2" s="4" t="s">
        <v>81</v>
      </c>
      <c r="E2" s="4" t="s">
        <v>55</v>
      </c>
      <c r="F2" s="4" t="s">
        <v>54</v>
      </c>
      <c r="G2" s="4" t="s">
        <v>82</v>
      </c>
      <c r="H2" s="4" t="s">
        <v>83</v>
      </c>
      <c r="I2" s="4" t="s">
        <v>84</v>
      </c>
      <c r="J2" s="4" t="s">
        <v>59</v>
      </c>
    </row>
    <row r="3" spans="1:10" x14ac:dyDescent="0.3">
      <c r="A3" s="16" t="s">
        <v>95</v>
      </c>
      <c r="B3" s="16" t="s">
        <v>136</v>
      </c>
      <c r="C3" s="16" t="s">
        <v>134</v>
      </c>
      <c r="D3" s="16" t="s">
        <v>139</v>
      </c>
      <c r="E3" s="16" t="s">
        <v>132</v>
      </c>
      <c r="F3" s="16" t="s">
        <v>115</v>
      </c>
      <c r="G3" s="16" t="s">
        <v>137</v>
      </c>
      <c r="H3" s="16" t="s">
        <v>135</v>
      </c>
      <c r="I3" s="16" t="s">
        <v>138</v>
      </c>
      <c r="J3" s="16" t="s">
        <v>133</v>
      </c>
    </row>
    <row r="4" spans="1:10" x14ac:dyDescent="0.3">
      <c r="A4" s="16" t="s">
        <v>96</v>
      </c>
      <c r="B4" s="16" t="s">
        <v>115</v>
      </c>
      <c r="C4" s="16" t="s">
        <v>96</v>
      </c>
      <c r="D4" s="16" t="s">
        <v>96</v>
      </c>
      <c r="E4" s="16" t="s">
        <v>96</v>
      </c>
      <c r="F4" s="16" t="s">
        <v>96</v>
      </c>
      <c r="G4" s="16" t="s">
        <v>96</v>
      </c>
      <c r="H4" s="16" t="s">
        <v>96</v>
      </c>
      <c r="I4" s="16" t="s">
        <v>96</v>
      </c>
      <c r="J4" s="16" t="s">
        <v>96</v>
      </c>
    </row>
    <row r="5" spans="1:10" x14ac:dyDescent="0.3">
      <c r="A5" s="16" t="s">
        <v>97</v>
      </c>
      <c r="B5" s="16" t="s">
        <v>97</v>
      </c>
      <c r="C5" s="16" t="s">
        <v>115</v>
      </c>
      <c r="D5" s="16" t="s">
        <v>97</v>
      </c>
      <c r="E5" s="16" t="s">
        <v>97</v>
      </c>
      <c r="F5" s="16" t="s">
        <v>97</v>
      </c>
      <c r="G5" s="16" t="s">
        <v>97</v>
      </c>
      <c r="H5" s="16" t="s">
        <v>97</v>
      </c>
      <c r="I5" s="16" t="s">
        <v>97</v>
      </c>
      <c r="J5" s="16" t="s">
        <v>97</v>
      </c>
    </row>
    <row r="6" spans="1:10" x14ac:dyDescent="0.3">
      <c r="A6" s="16" t="s">
        <v>98</v>
      </c>
      <c r="B6" s="16" t="s">
        <v>98</v>
      </c>
      <c r="C6" s="16" t="s">
        <v>98</v>
      </c>
      <c r="D6" s="16" t="s">
        <v>115</v>
      </c>
      <c r="E6" s="16" t="s">
        <v>98</v>
      </c>
      <c r="F6" s="16" t="s">
        <v>98</v>
      </c>
      <c r="G6" s="16" t="s">
        <v>98</v>
      </c>
      <c r="H6" s="16" t="s">
        <v>98</v>
      </c>
      <c r="I6" s="16" t="s">
        <v>98</v>
      </c>
      <c r="J6" s="16" t="s">
        <v>98</v>
      </c>
    </row>
    <row r="7" spans="1:10" x14ac:dyDescent="0.3">
      <c r="A7" s="16" t="s">
        <v>99</v>
      </c>
      <c r="B7" s="16" t="s">
        <v>99</v>
      </c>
      <c r="C7" s="16" t="s">
        <v>99</v>
      </c>
      <c r="D7" s="16" t="s">
        <v>99</v>
      </c>
      <c r="E7" s="16" t="s">
        <v>99</v>
      </c>
      <c r="F7" s="16" t="s">
        <v>99</v>
      </c>
      <c r="G7" s="16" t="s">
        <v>115</v>
      </c>
      <c r="H7" s="16" t="s">
        <v>99</v>
      </c>
      <c r="I7" s="16" t="s">
        <v>99</v>
      </c>
      <c r="J7" s="16" t="s">
        <v>99</v>
      </c>
    </row>
    <row r="8" spans="1:10" x14ac:dyDescent="0.3">
      <c r="A8" s="16" t="s">
        <v>100</v>
      </c>
      <c r="B8" s="16" t="s">
        <v>100</v>
      </c>
      <c r="C8" s="16" t="s">
        <v>100</v>
      </c>
      <c r="D8" s="16" t="s">
        <v>100</v>
      </c>
      <c r="E8" s="16" t="s">
        <v>100</v>
      </c>
      <c r="F8" s="16" t="s">
        <v>100</v>
      </c>
      <c r="G8" s="16" t="s">
        <v>100</v>
      </c>
      <c r="H8" s="16" t="s">
        <v>115</v>
      </c>
      <c r="I8" s="16" t="s">
        <v>100</v>
      </c>
      <c r="J8" s="16" t="s">
        <v>100</v>
      </c>
    </row>
    <row r="9" spans="1:10" x14ac:dyDescent="0.3">
      <c r="A9" s="16" t="s">
        <v>101</v>
      </c>
      <c r="B9" s="16" t="s">
        <v>101</v>
      </c>
      <c r="C9" s="16" t="s">
        <v>101</v>
      </c>
      <c r="D9" s="16" t="s">
        <v>101</v>
      </c>
      <c r="E9" s="16" t="s">
        <v>101</v>
      </c>
      <c r="F9" s="16" t="s">
        <v>101</v>
      </c>
      <c r="G9" s="16" t="s">
        <v>101</v>
      </c>
      <c r="H9" s="16" t="s">
        <v>101</v>
      </c>
      <c r="I9" s="16" t="s">
        <v>115</v>
      </c>
      <c r="J9" s="16" t="s">
        <v>101</v>
      </c>
    </row>
    <row r="10" spans="1:10" x14ac:dyDescent="0.3">
      <c r="A10" s="16" t="s">
        <v>102</v>
      </c>
      <c r="B10" s="16" t="s">
        <v>102</v>
      </c>
      <c r="C10" s="16" t="s">
        <v>102</v>
      </c>
      <c r="D10" s="16" t="s">
        <v>102</v>
      </c>
      <c r="E10" s="16" t="s">
        <v>115</v>
      </c>
      <c r="F10" s="16" t="s">
        <v>102</v>
      </c>
      <c r="G10" s="16" t="s">
        <v>102</v>
      </c>
      <c r="H10" s="16" t="s">
        <v>102</v>
      </c>
      <c r="I10" s="16" t="s">
        <v>102</v>
      </c>
      <c r="J10" s="16" t="s">
        <v>102</v>
      </c>
    </row>
    <row r="11" spans="1:10" x14ac:dyDescent="0.3">
      <c r="A11" s="16" t="s">
        <v>103</v>
      </c>
      <c r="B11" s="16" t="s">
        <v>103</v>
      </c>
      <c r="C11" s="16" t="s">
        <v>103</v>
      </c>
      <c r="D11" s="16" t="s">
        <v>103</v>
      </c>
      <c r="E11" s="16" t="s">
        <v>103</v>
      </c>
      <c r="F11" s="16" t="s">
        <v>103</v>
      </c>
      <c r="G11" s="16" t="s">
        <v>103</v>
      </c>
      <c r="H11" s="16" t="s">
        <v>103</v>
      </c>
      <c r="I11" s="16" t="s">
        <v>103</v>
      </c>
      <c r="J11" s="16" t="s">
        <v>115</v>
      </c>
    </row>
    <row r="12" spans="1:10" x14ac:dyDescent="0.3">
      <c r="A12" s="16" t="s">
        <v>104</v>
      </c>
      <c r="B12" s="16" t="s">
        <v>104</v>
      </c>
      <c r="C12" s="16" t="s">
        <v>104</v>
      </c>
      <c r="D12" s="16" t="s">
        <v>104</v>
      </c>
      <c r="E12" s="16" t="s">
        <v>104</v>
      </c>
      <c r="F12" s="16" t="s">
        <v>104</v>
      </c>
      <c r="G12" s="16" t="s">
        <v>104</v>
      </c>
      <c r="H12" s="16" t="s">
        <v>104</v>
      </c>
      <c r="I12" s="16" t="s">
        <v>104</v>
      </c>
      <c r="J12" s="16" t="s">
        <v>104</v>
      </c>
    </row>
    <row r="13" spans="1:10" x14ac:dyDescent="0.3">
      <c r="A13" s="16" t="s">
        <v>105</v>
      </c>
      <c r="B13" s="16" t="s">
        <v>105</v>
      </c>
      <c r="C13" s="16" t="s">
        <v>105</v>
      </c>
      <c r="D13" s="16" t="s">
        <v>105</v>
      </c>
      <c r="E13" s="16" t="s">
        <v>105</v>
      </c>
      <c r="F13" s="16" t="s">
        <v>105</v>
      </c>
      <c r="G13" s="16" t="s">
        <v>105</v>
      </c>
      <c r="H13" s="16" t="s">
        <v>105</v>
      </c>
      <c r="I13" s="16" t="s">
        <v>105</v>
      </c>
      <c r="J13" s="16" t="s">
        <v>105</v>
      </c>
    </row>
    <row r="14" spans="1:10" x14ac:dyDescent="0.3">
      <c r="A14" s="16" t="s">
        <v>106</v>
      </c>
      <c r="B14" s="16" t="s">
        <v>106</v>
      </c>
      <c r="C14" s="16" t="s">
        <v>106</v>
      </c>
      <c r="D14" s="16" t="s">
        <v>106</v>
      </c>
      <c r="E14" s="16" t="s">
        <v>106</v>
      </c>
      <c r="F14" s="16" t="s">
        <v>106</v>
      </c>
      <c r="G14" s="16" t="s">
        <v>106</v>
      </c>
      <c r="H14" s="16" t="s">
        <v>106</v>
      </c>
      <c r="I14" s="16" t="s">
        <v>106</v>
      </c>
      <c r="J14" s="16" t="s">
        <v>106</v>
      </c>
    </row>
    <row r="15" spans="1:10" x14ac:dyDescent="0.3">
      <c r="A15" s="16" t="s">
        <v>107</v>
      </c>
      <c r="B15" s="16" t="s">
        <v>107</v>
      </c>
      <c r="C15" s="16" t="s">
        <v>107</v>
      </c>
      <c r="D15" s="16" t="s">
        <v>107</v>
      </c>
      <c r="E15" s="16" t="s">
        <v>107</v>
      </c>
      <c r="F15" s="16" t="s">
        <v>107</v>
      </c>
      <c r="G15" s="16" t="s">
        <v>107</v>
      </c>
      <c r="H15" s="16" t="s">
        <v>107</v>
      </c>
      <c r="I15" s="16" t="s">
        <v>107</v>
      </c>
      <c r="J15" s="16" t="s">
        <v>107</v>
      </c>
    </row>
    <row r="16" spans="1:10" x14ac:dyDescent="0.3">
      <c r="A16" s="16" t="s">
        <v>108</v>
      </c>
      <c r="B16" s="16" t="s">
        <v>108</v>
      </c>
      <c r="C16" s="16" t="s">
        <v>108</v>
      </c>
      <c r="D16" s="16" t="s">
        <v>108</v>
      </c>
      <c r="E16" s="16" t="s">
        <v>108</v>
      </c>
      <c r="F16" s="16" t="s">
        <v>108</v>
      </c>
      <c r="G16" s="16" t="s">
        <v>108</v>
      </c>
      <c r="H16" s="16" t="s">
        <v>108</v>
      </c>
      <c r="I16" s="16" t="s">
        <v>108</v>
      </c>
      <c r="J16" s="16" t="s">
        <v>108</v>
      </c>
    </row>
    <row r="18" spans="1:11" x14ac:dyDescent="0.3">
      <c r="A18" s="82" t="s">
        <v>116</v>
      </c>
      <c r="B18" s="83"/>
      <c r="C18" s="83"/>
      <c r="D18" s="83"/>
      <c r="E18" s="83"/>
      <c r="F18" s="83"/>
      <c r="G18" s="83"/>
      <c r="H18" s="83"/>
      <c r="I18" s="83"/>
    </row>
    <row r="19" spans="1:11" x14ac:dyDescent="0.3">
      <c r="A19" s="16"/>
      <c r="B19" s="4" t="s">
        <v>85</v>
      </c>
      <c r="C19" s="4" t="s">
        <v>121</v>
      </c>
      <c r="D19" s="4" t="s">
        <v>122</v>
      </c>
      <c r="E19" s="4" t="s">
        <v>58</v>
      </c>
      <c r="F19" s="4" t="s">
        <v>57</v>
      </c>
      <c r="G19" s="4" t="s">
        <v>88</v>
      </c>
      <c r="H19" s="4" t="s">
        <v>91</v>
      </c>
      <c r="I19" s="4" t="s">
        <v>56</v>
      </c>
    </row>
    <row r="20" spans="1:11" x14ac:dyDescent="0.3">
      <c r="A20" s="16" t="s">
        <v>95</v>
      </c>
      <c r="B20" s="16" t="s">
        <v>128</v>
      </c>
      <c r="C20" s="16" t="s">
        <v>124</v>
      </c>
      <c r="D20" s="16" t="s">
        <v>131</v>
      </c>
      <c r="E20" s="16" t="s">
        <v>129</v>
      </c>
      <c r="F20" s="16" t="s">
        <v>125</v>
      </c>
      <c r="G20" s="16" t="s">
        <v>130</v>
      </c>
      <c r="H20" s="16" t="s">
        <v>127</v>
      </c>
      <c r="I20" s="16" t="s">
        <v>126</v>
      </c>
      <c r="K20" s="2"/>
    </row>
    <row r="21" spans="1:11" x14ac:dyDescent="0.3">
      <c r="A21" s="16" t="s">
        <v>96</v>
      </c>
      <c r="B21" s="16" t="s">
        <v>96</v>
      </c>
      <c r="C21" s="16" t="s">
        <v>96</v>
      </c>
      <c r="D21" s="16" t="s">
        <v>96</v>
      </c>
      <c r="E21" s="16" t="s">
        <v>96</v>
      </c>
      <c r="F21" s="16" t="s">
        <v>96</v>
      </c>
      <c r="G21" s="16" t="s">
        <v>96</v>
      </c>
      <c r="H21" s="16" t="s">
        <v>96</v>
      </c>
      <c r="I21" s="16" t="s">
        <v>96</v>
      </c>
      <c r="K21" s="2"/>
    </row>
    <row r="22" spans="1:11" x14ac:dyDescent="0.3">
      <c r="A22" s="16" t="s">
        <v>97</v>
      </c>
      <c r="B22" s="16" t="s">
        <v>97</v>
      </c>
      <c r="C22" s="16" t="s">
        <v>97</v>
      </c>
      <c r="D22" s="16" t="s">
        <v>97</v>
      </c>
      <c r="E22" s="16" t="s">
        <v>97</v>
      </c>
      <c r="F22" s="16" t="s">
        <v>97</v>
      </c>
      <c r="G22" s="16" t="s">
        <v>97</v>
      </c>
      <c r="H22" s="16" t="s">
        <v>97</v>
      </c>
      <c r="I22" s="16" t="s">
        <v>97</v>
      </c>
      <c r="K22" s="2"/>
    </row>
    <row r="23" spans="1:11" x14ac:dyDescent="0.3">
      <c r="A23" s="16" t="s">
        <v>98</v>
      </c>
      <c r="B23" s="16" t="s">
        <v>98</v>
      </c>
      <c r="C23" s="16" t="s">
        <v>98</v>
      </c>
      <c r="D23" s="16" t="s">
        <v>98</v>
      </c>
      <c r="E23" s="16" t="s">
        <v>98</v>
      </c>
      <c r="F23" s="16" t="s">
        <v>98</v>
      </c>
      <c r="G23" s="16" t="s">
        <v>98</v>
      </c>
      <c r="H23" s="16" t="s">
        <v>98</v>
      </c>
      <c r="I23" s="16" t="s">
        <v>98</v>
      </c>
      <c r="K23" s="2"/>
    </row>
    <row r="24" spans="1:11" x14ac:dyDescent="0.3">
      <c r="A24" s="16" t="s">
        <v>99</v>
      </c>
      <c r="B24" s="16" t="s">
        <v>99</v>
      </c>
      <c r="C24" s="16" t="s">
        <v>99</v>
      </c>
      <c r="D24" s="16" t="s">
        <v>99</v>
      </c>
      <c r="E24" s="16" t="s">
        <v>99</v>
      </c>
      <c r="F24" s="16" t="s">
        <v>99</v>
      </c>
      <c r="G24" s="16" t="s">
        <v>99</v>
      </c>
      <c r="H24" s="16" t="s">
        <v>99</v>
      </c>
      <c r="I24" s="16" t="s">
        <v>99</v>
      </c>
      <c r="K24" s="2"/>
    </row>
    <row r="25" spans="1:11" x14ac:dyDescent="0.3">
      <c r="A25" s="16" t="s">
        <v>100</v>
      </c>
      <c r="B25" s="16" t="s">
        <v>100</v>
      </c>
      <c r="C25" s="16" t="s">
        <v>100</v>
      </c>
      <c r="D25" s="16" t="s">
        <v>100</v>
      </c>
      <c r="E25" s="16" t="s">
        <v>100</v>
      </c>
      <c r="F25" s="16" t="s">
        <v>100</v>
      </c>
      <c r="G25" s="16" t="s">
        <v>100</v>
      </c>
      <c r="H25" s="16" t="s">
        <v>100</v>
      </c>
      <c r="I25" s="16" t="s">
        <v>100</v>
      </c>
      <c r="K25" s="2"/>
    </row>
    <row r="26" spans="1:11" x14ac:dyDescent="0.3">
      <c r="A26" s="16" t="s">
        <v>101</v>
      </c>
      <c r="B26" s="16" t="s">
        <v>101</v>
      </c>
      <c r="C26" s="16" t="s">
        <v>101</v>
      </c>
      <c r="D26" s="16" t="s">
        <v>101</v>
      </c>
      <c r="E26" s="16" t="s">
        <v>101</v>
      </c>
      <c r="F26" s="16" t="s">
        <v>101</v>
      </c>
      <c r="G26" s="16" t="s">
        <v>101</v>
      </c>
      <c r="H26" s="16" t="s">
        <v>101</v>
      </c>
      <c r="I26" s="16" t="s">
        <v>101</v>
      </c>
      <c r="K26" s="2"/>
    </row>
    <row r="27" spans="1:11" x14ac:dyDescent="0.3">
      <c r="A27" s="16" t="s">
        <v>102</v>
      </c>
      <c r="B27" s="16" t="s">
        <v>102</v>
      </c>
      <c r="C27" s="16" t="s">
        <v>102</v>
      </c>
      <c r="D27" s="16" t="s">
        <v>102</v>
      </c>
      <c r="E27" s="16" t="s">
        <v>102</v>
      </c>
      <c r="F27" s="16" t="s">
        <v>102</v>
      </c>
      <c r="G27" s="16" t="s">
        <v>102</v>
      </c>
      <c r="H27" s="16" t="s">
        <v>102</v>
      </c>
      <c r="I27" s="16" t="s">
        <v>102</v>
      </c>
      <c r="K27" s="2"/>
    </row>
    <row r="28" spans="1:11" x14ac:dyDescent="0.3">
      <c r="A28" s="16" t="s">
        <v>103</v>
      </c>
      <c r="B28" s="16" t="s">
        <v>103</v>
      </c>
      <c r="C28" s="16" t="s">
        <v>103</v>
      </c>
      <c r="D28" s="16" t="s">
        <v>103</v>
      </c>
      <c r="E28" s="16" t="s">
        <v>103</v>
      </c>
      <c r="F28" s="16" t="s">
        <v>103</v>
      </c>
      <c r="G28" s="16" t="s">
        <v>103</v>
      </c>
      <c r="H28" s="16" t="s">
        <v>103</v>
      </c>
      <c r="I28" s="16" t="s">
        <v>103</v>
      </c>
    </row>
    <row r="29" spans="1:11" x14ac:dyDescent="0.3">
      <c r="A29" s="16" t="s">
        <v>104</v>
      </c>
      <c r="B29" s="16" t="s">
        <v>104</v>
      </c>
      <c r="C29" s="16" t="s">
        <v>104</v>
      </c>
      <c r="D29" s="16" t="s">
        <v>104</v>
      </c>
      <c r="E29" s="16" t="s">
        <v>104</v>
      </c>
      <c r="F29" s="16" t="s">
        <v>104</v>
      </c>
      <c r="G29" s="16" t="s">
        <v>104</v>
      </c>
      <c r="H29" s="16" t="s">
        <v>104</v>
      </c>
      <c r="I29" s="16" t="s">
        <v>104</v>
      </c>
    </row>
    <row r="30" spans="1:11" x14ac:dyDescent="0.3">
      <c r="A30" s="16" t="s">
        <v>105</v>
      </c>
      <c r="B30" s="16" t="s">
        <v>105</v>
      </c>
      <c r="C30" s="16" t="s">
        <v>105</v>
      </c>
      <c r="D30" s="16" t="s">
        <v>105</v>
      </c>
      <c r="E30" s="16" t="s">
        <v>105</v>
      </c>
      <c r="F30" s="16" t="s">
        <v>105</v>
      </c>
      <c r="G30" s="16" t="s">
        <v>105</v>
      </c>
      <c r="H30" s="16" t="s">
        <v>105</v>
      </c>
      <c r="I30" s="16" t="s">
        <v>105</v>
      </c>
    </row>
    <row r="31" spans="1:11" x14ac:dyDescent="0.3">
      <c r="A31" s="16" t="s">
        <v>106</v>
      </c>
      <c r="B31" s="16" t="s">
        <v>106</v>
      </c>
      <c r="C31" s="16" t="s">
        <v>106</v>
      </c>
      <c r="D31" s="16" t="s">
        <v>106</v>
      </c>
      <c r="E31" s="16" t="s">
        <v>106</v>
      </c>
      <c r="F31" s="16" t="s">
        <v>106</v>
      </c>
      <c r="G31" s="16" t="s">
        <v>106</v>
      </c>
      <c r="H31" s="16" t="s">
        <v>106</v>
      </c>
      <c r="I31" s="16" t="s">
        <v>106</v>
      </c>
    </row>
    <row r="32" spans="1:11" x14ac:dyDescent="0.3">
      <c r="A32" s="16" t="s">
        <v>107</v>
      </c>
      <c r="B32" s="16" t="s">
        <v>107</v>
      </c>
      <c r="C32" s="16" t="s">
        <v>107</v>
      </c>
      <c r="D32" s="16" t="s">
        <v>107</v>
      </c>
      <c r="E32" s="16" t="s">
        <v>107</v>
      </c>
      <c r="F32" s="16" t="s">
        <v>107</v>
      </c>
      <c r="G32" s="16" t="s">
        <v>107</v>
      </c>
      <c r="H32" s="16" t="s">
        <v>107</v>
      </c>
      <c r="I32" s="16" t="s">
        <v>107</v>
      </c>
    </row>
    <row r="33" spans="1:12" x14ac:dyDescent="0.3">
      <c r="A33" s="16" t="s">
        <v>108</v>
      </c>
      <c r="B33" s="16" t="s">
        <v>108</v>
      </c>
      <c r="C33" s="16" t="s">
        <v>108</v>
      </c>
      <c r="D33" s="16" t="s">
        <v>108</v>
      </c>
      <c r="E33" s="16" t="s">
        <v>108</v>
      </c>
      <c r="F33" s="16" t="s">
        <v>108</v>
      </c>
      <c r="G33" s="16" t="s">
        <v>108</v>
      </c>
      <c r="H33" s="16" t="s">
        <v>108</v>
      </c>
      <c r="I33" s="16" t="s">
        <v>108</v>
      </c>
    </row>
    <row r="36" spans="1:12" x14ac:dyDescent="0.3">
      <c r="A36" s="84" t="s">
        <v>120</v>
      </c>
      <c r="B36" s="85"/>
      <c r="C36" s="85"/>
      <c r="D36" s="85"/>
      <c r="E36" s="85"/>
      <c r="F36" s="85"/>
      <c r="G36" s="85"/>
      <c r="H36" s="85"/>
      <c r="I36" s="85"/>
    </row>
    <row r="37" spans="1:12" x14ac:dyDescent="0.3">
      <c r="A37" s="16"/>
      <c r="B37" s="4" t="s">
        <v>70</v>
      </c>
      <c r="C37" s="4" t="s">
        <v>71</v>
      </c>
      <c r="D37" s="4" t="s">
        <v>72</v>
      </c>
      <c r="E37" s="4" t="s">
        <v>73</v>
      </c>
      <c r="F37" s="4" t="s">
        <v>123</v>
      </c>
      <c r="G37" s="4" t="s">
        <v>75</v>
      </c>
      <c r="H37" s="4" t="s">
        <v>77</v>
      </c>
      <c r="I37" s="4" t="s">
        <v>76</v>
      </c>
    </row>
    <row r="38" spans="1:12" x14ac:dyDescent="0.3">
      <c r="A38" s="16" t="s">
        <v>95</v>
      </c>
      <c r="B38" s="16" t="s">
        <v>140</v>
      </c>
      <c r="C38" s="16" t="s">
        <v>141</v>
      </c>
      <c r="D38" s="16" t="s">
        <v>142</v>
      </c>
      <c r="E38" s="16" t="s">
        <v>144</v>
      </c>
      <c r="F38" s="16" t="s">
        <v>145</v>
      </c>
      <c r="G38" s="16" t="s">
        <v>143</v>
      </c>
      <c r="H38" s="16" t="s">
        <v>146</v>
      </c>
      <c r="I38" s="16" t="s">
        <v>147</v>
      </c>
    </row>
    <row r="39" spans="1:12" x14ac:dyDescent="0.3">
      <c r="A39" s="16" t="s">
        <v>96</v>
      </c>
      <c r="B39" s="16" t="s">
        <v>96</v>
      </c>
      <c r="C39" s="16" t="s">
        <v>96</v>
      </c>
      <c r="D39" s="16" t="s">
        <v>96</v>
      </c>
      <c r="E39" s="16" t="s">
        <v>96</v>
      </c>
      <c r="F39" s="16" t="s">
        <v>96</v>
      </c>
      <c r="G39" s="16" t="s">
        <v>96</v>
      </c>
      <c r="H39" s="16" t="s">
        <v>96</v>
      </c>
      <c r="I39" s="16" t="s">
        <v>96</v>
      </c>
    </row>
    <row r="40" spans="1:12" x14ac:dyDescent="0.3">
      <c r="A40" s="16" t="s">
        <v>97</v>
      </c>
      <c r="B40" s="16" t="s">
        <v>97</v>
      </c>
      <c r="C40" s="16" t="s">
        <v>97</v>
      </c>
      <c r="D40" s="16" t="s">
        <v>97</v>
      </c>
      <c r="E40" s="16" t="s">
        <v>97</v>
      </c>
      <c r="F40" s="16" t="s">
        <v>97</v>
      </c>
      <c r="G40" s="16" t="s">
        <v>97</v>
      </c>
      <c r="H40" s="16" t="s">
        <v>97</v>
      </c>
      <c r="I40" s="16" t="s">
        <v>97</v>
      </c>
      <c r="L40" s="20"/>
    </row>
    <row r="41" spans="1:12" x14ac:dyDescent="0.3">
      <c r="A41" s="16" t="s">
        <v>98</v>
      </c>
      <c r="B41" s="16" t="s">
        <v>98</v>
      </c>
      <c r="C41" s="16" t="s">
        <v>98</v>
      </c>
      <c r="D41" s="16" t="s">
        <v>98</v>
      </c>
      <c r="E41" s="16" t="s">
        <v>98</v>
      </c>
      <c r="F41" s="16" t="s">
        <v>98</v>
      </c>
      <c r="G41" s="16" t="s">
        <v>98</v>
      </c>
      <c r="H41" s="16" t="s">
        <v>98</v>
      </c>
      <c r="I41" s="16" t="s">
        <v>98</v>
      </c>
      <c r="L41" s="20"/>
    </row>
    <row r="42" spans="1:12" x14ac:dyDescent="0.3">
      <c r="A42" s="16" t="s">
        <v>99</v>
      </c>
      <c r="B42" s="16" t="s">
        <v>99</v>
      </c>
      <c r="C42" s="16" t="s">
        <v>99</v>
      </c>
      <c r="D42" s="16" t="s">
        <v>99</v>
      </c>
      <c r="E42" s="16" t="s">
        <v>99</v>
      </c>
      <c r="F42" s="16" t="s">
        <v>99</v>
      </c>
      <c r="G42" s="16" t="s">
        <v>99</v>
      </c>
      <c r="H42" s="16" t="s">
        <v>99</v>
      </c>
      <c r="I42" s="16" t="s">
        <v>99</v>
      </c>
      <c r="L42" s="20"/>
    </row>
    <row r="43" spans="1:12" x14ac:dyDescent="0.3">
      <c r="A43" s="16" t="s">
        <v>100</v>
      </c>
      <c r="B43" s="16" t="s">
        <v>100</v>
      </c>
      <c r="C43" s="16" t="s">
        <v>100</v>
      </c>
      <c r="D43" s="16" t="s">
        <v>100</v>
      </c>
      <c r="E43" s="16" t="s">
        <v>100</v>
      </c>
      <c r="F43" s="16" t="s">
        <v>100</v>
      </c>
      <c r="G43" s="16" t="s">
        <v>100</v>
      </c>
      <c r="H43" s="16" t="s">
        <v>100</v>
      </c>
      <c r="I43" s="16" t="s">
        <v>100</v>
      </c>
      <c r="L43" s="20"/>
    </row>
    <row r="44" spans="1:12" x14ac:dyDescent="0.3">
      <c r="A44" s="16" t="s">
        <v>101</v>
      </c>
      <c r="B44" s="16" t="s">
        <v>101</v>
      </c>
      <c r="C44" s="16" t="s">
        <v>101</v>
      </c>
      <c r="D44" s="16" t="s">
        <v>101</v>
      </c>
      <c r="E44" s="16" t="s">
        <v>101</v>
      </c>
      <c r="F44" s="16" t="s">
        <v>101</v>
      </c>
      <c r="G44" s="16" t="s">
        <v>101</v>
      </c>
      <c r="H44" s="16" t="s">
        <v>101</v>
      </c>
      <c r="I44" s="16" t="s">
        <v>101</v>
      </c>
      <c r="L44" s="20"/>
    </row>
    <row r="45" spans="1:12" x14ac:dyDescent="0.3">
      <c r="A45" s="16" t="s">
        <v>102</v>
      </c>
      <c r="B45" s="16" t="s">
        <v>102</v>
      </c>
      <c r="C45" s="16" t="s">
        <v>102</v>
      </c>
      <c r="D45" s="16" t="s">
        <v>102</v>
      </c>
      <c r="E45" s="16" t="s">
        <v>102</v>
      </c>
      <c r="F45" s="16" t="s">
        <v>102</v>
      </c>
      <c r="G45" s="16" t="s">
        <v>102</v>
      </c>
      <c r="H45" s="16" t="s">
        <v>102</v>
      </c>
      <c r="I45" s="16" t="s">
        <v>102</v>
      </c>
      <c r="L45" s="20"/>
    </row>
    <row r="46" spans="1:12" x14ac:dyDescent="0.3">
      <c r="A46" s="16" t="s">
        <v>103</v>
      </c>
      <c r="B46" s="16" t="s">
        <v>103</v>
      </c>
      <c r="C46" s="16" t="s">
        <v>103</v>
      </c>
      <c r="D46" s="16" t="s">
        <v>103</v>
      </c>
      <c r="E46" s="16" t="s">
        <v>103</v>
      </c>
      <c r="F46" s="16" t="s">
        <v>103</v>
      </c>
      <c r="G46" s="16" t="s">
        <v>103</v>
      </c>
      <c r="H46" s="16" t="s">
        <v>103</v>
      </c>
      <c r="I46" s="16" t="s">
        <v>103</v>
      </c>
    </row>
    <row r="47" spans="1:12" x14ac:dyDescent="0.3">
      <c r="A47" s="16" t="s">
        <v>104</v>
      </c>
      <c r="B47" s="16" t="s">
        <v>104</v>
      </c>
      <c r="C47" s="16" t="s">
        <v>104</v>
      </c>
      <c r="D47" s="16" t="s">
        <v>104</v>
      </c>
      <c r="E47" s="16" t="s">
        <v>104</v>
      </c>
      <c r="F47" s="16" t="s">
        <v>104</v>
      </c>
      <c r="G47" s="16" t="s">
        <v>104</v>
      </c>
      <c r="H47" s="16" t="s">
        <v>104</v>
      </c>
      <c r="I47" s="16" t="s">
        <v>104</v>
      </c>
    </row>
    <row r="48" spans="1:12" x14ac:dyDescent="0.3">
      <c r="A48" s="16" t="s">
        <v>105</v>
      </c>
      <c r="B48" s="16" t="s">
        <v>105</v>
      </c>
      <c r="C48" s="16" t="s">
        <v>105</v>
      </c>
      <c r="D48" s="16" t="s">
        <v>105</v>
      </c>
      <c r="E48" s="16" t="s">
        <v>105</v>
      </c>
      <c r="F48" s="16" t="s">
        <v>105</v>
      </c>
      <c r="G48" s="16" t="s">
        <v>105</v>
      </c>
      <c r="H48" s="16" t="s">
        <v>105</v>
      </c>
      <c r="I48" s="16" t="s">
        <v>105</v>
      </c>
    </row>
    <row r="49" spans="1:9" x14ac:dyDescent="0.3">
      <c r="A49" s="16" t="s">
        <v>106</v>
      </c>
      <c r="B49" s="16" t="s">
        <v>106</v>
      </c>
      <c r="C49" s="16" t="s">
        <v>106</v>
      </c>
      <c r="D49" s="16" t="s">
        <v>106</v>
      </c>
      <c r="E49" s="16" t="s">
        <v>106</v>
      </c>
      <c r="F49" s="16" t="s">
        <v>106</v>
      </c>
      <c r="G49" s="16" t="s">
        <v>106</v>
      </c>
      <c r="H49" s="16" t="s">
        <v>106</v>
      </c>
      <c r="I49" s="16" t="s">
        <v>106</v>
      </c>
    </row>
    <row r="50" spans="1:9" x14ac:dyDescent="0.3">
      <c r="A50" s="16" t="s">
        <v>107</v>
      </c>
      <c r="B50" s="16" t="s">
        <v>107</v>
      </c>
      <c r="C50" s="16" t="s">
        <v>107</v>
      </c>
      <c r="D50" s="16" t="s">
        <v>107</v>
      </c>
      <c r="E50" s="16" t="s">
        <v>107</v>
      </c>
      <c r="F50" s="16" t="s">
        <v>107</v>
      </c>
      <c r="G50" s="16" t="s">
        <v>107</v>
      </c>
      <c r="H50" s="16" t="s">
        <v>107</v>
      </c>
      <c r="I50" s="16" t="s">
        <v>107</v>
      </c>
    </row>
    <row r="51" spans="1:9" x14ac:dyDescent="0.3">
      <c r="A51" s="16" t="s">
        <v>108</v>
      </c>
      <c r="B51" s="16" t="s">
        <v>108</v>
      </c>
      <c r="C51" s="16" t="s">
        <v>108</v>
      </c>
      <c r="D51" s="16" t="s">
        <v>108</v>
      </c>
      <c r="E51" s="16" t="s">
        <v>108</v>
      </c>
      <c r="F51" s="16" t="s">
        <v>108</v>
      </c>
      <c r="G51" s="16" t="s">
        <v>108</v>
      </c>
      <c r="H51" s="16" t="s">
        <v>108</v>
      </c>
      <c r="I51" s="16" t="s">
        <v>108</v>
      </c>
    </row>
  </sheetData>
  <mergeCells count="3">
    <mergeCell ref="A1:J1"/>
    <mergeCell ref="A18:I18"/>
    <mergeCell ref="A36:I3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118C-BF9C-4890-B25A-F1909E1021E6}">
  <dimension ref="A1:K176"/>
  <sheetViews>
    <sheetView zoomScaleNormal="100" workbookViewId="0">
      <selection activeCell="E3" sqref="E3:G9"/>
    </sheetView>
  </sheetViews>
  <sheetFormatPr defaultColWidth="8.77734375" defaultRowHeight="13.8" x14ac:dyDescent="0.3"/>
  <cols>
    <col min="1" max="1" width="12" style="8" customWidth="1"/>
    <col min="2" max="3" width="7.77734375" style="2" customWidth="1"/>
    <col min="4" max="4" width="19.44140625" style="2" customWidth="1"/>
    <col min="5" max="5" width="19.21875" style="2" customWidth="1"/>
    <col min="6" max="6" width="4.21875" style="2" customWidth="1"/>
    <col min="7" max="9" width="19.21875" style="2" customWidth="1"/>
    <col min="10" max="11" width="8.77734375" style="2"/>
    <col min="12" max="12" width="19.77734375" style="2" bestFit="1" customWidth="1"/>
    <col min="13" max="16384" width="8.777343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</row>
    <row r="2" spans="1:9" x14ac:dyDescent="0.3">
      <c r="A2" s="3" t="s">
        <v>8</v>
      </c>
      <c r="B2" s="4" t="s">
        <v>9</v>
      </c>
      <c r="C2" s="4" t="s">
        <v>10</v>
      </c>
      <c r="D2" s="4" t="str">
        <f>E2</f>
        <v>T2</v>
      </c>
      <c r="E2" s="5" t="s">
        <v>11</v>
      </c>
      <c r="F2" s="5" t="s">
        <v>12</v>
      </c>
      <c r="G2" s="5" t="s">
        <v>13</v>
      </c>
      <c r="H2" s="4" t="str">
        <f>E5</f>
        <v>T1</v>
      </c>
      <c r="I2" s="4"/>
    </row>
    <row r="3" spans="1:9" x14ac:dyDescent="0.3">
      <c r="A3" s="6">
        <v>45700</v>
      </c>
      <c r="B3" s="4" t="s">
        <v>9</v>
      </c>
      <c r="C3" s="4" t="s">
        <v>20</v>
      </c>
      <c r="D3" s="4" t="str">
        <f t="shared" ref="D3:D4" si="0">E3</f>
        <v>G1</v>
      </c>
      <c r="E3" s="7" t="s">
        <v>51</v>
      </c>
      <c r="F3" s="7" t="s">
        <v>12</v>
      </c>
      <c r="G3" s="7" t="s">
        <v>47</v>
      </c>
      <c r="H3" s="4" t="str">
        <f>E6</f>
        <v>G7</v>
      </c>
      <c r="I3" s="4"/>
    </row>
    <row r="4" spans="1:9" x14ac:dyDescent="0.3">
      <c r="A4" s="3"/>
      <c r="B4" s="4" t="s">
        <v>9</v>
      </c>
      <c r="C4" s="4" t="s">
        <v>23</v>
      </c>
      <c r="D4" s="4" t="str">
        <f t="shared" si="0"/>
        <v>G2</v>
      </c>
      <c r="E4" s="7" t="s">
        <v>45</v>
      </c>
      <c r="F4" s="7" t="s">
        <v>12</v>
      </c>
      <c r="G4" s="7" t="s">
        <v>46</v>
      </c>
      <c r="H4" s="4" t="str">
        <f>G6</f>
        <v>G3</v>
      </c>
      <c r="I4" s="4"/>
    </row>
    <row r="5" spans="1:9" x14ac:dyDescent="0.3">
      <c r="A5" s="6"/>
      <c r="B5" s="4" t="s">
        <v>14</v>
      </c>
      <c r="C5" s="4" t="s">
        <v>10</v>
      </c>
      <c r="D5" s="4"/>
      <c r="E5" s="5" t="s">
        <v>15</v>
      </c>
      <c r="F5" s="5" t="s">
        <v>12</v>
      </c>
      <c r="G5" s="5" t="s">
        <v>16</v>
      </c>
      <c r="H5" s="4" t="str">
        <f>G2</f>
        <v>T6</v>
      </c>
      <c r="I5" s="4"/>
    </row>
    <row r="6" spans="1:9" x14ac:dyDescent="0.3">
      <c r="A6" s="6"/>
      <c r="B6" s="4" t="s">
        <v>14</v>
      </c>
      <c r="C6" s="4" t="s">
        <v>20</v>
      </c>
      <c r="D6" s="4"/>
      <c r="E6" s="7" t="s">
        <v>50</v>
      </c>
      <c r="F6" s="7" t="s">
        <v>12</v>
      </c>
      <c r="G6" s="7" t="s">
        <v>48</v>
      </c>
      <c r="H6" s="4" t="str">
        <f>G3</f>
        <v>G5</v>
      </c>
      <c r="I6" s="4"/>
    </row>
    <row r="7" spans="1:9" x14ac:dyDescent="0.3">
      <c r="A7" s="6"/>
      <c r="B7" s="4" t="s">
        <v>14</v>
      </c>
      <c r="C7" s="4" t="s">
        <v>23</v>
      </c>
      <c r="D7" s="4"/>
      <c r="E7" s="5" t="s">
        <v>21</v>
      </c>
      <c r="F7" s="5" t="s">
        <v>12</v>
      </c>
      <c r="G7" s="5" t="s">
        <v>22</v>
      </c>
      <c r="H7" s="4" t="str">
        <f>E8</f>
        <v>T7</v>
      </c>
      <c r="I7" s="4" t="str">
        <f>E7</f>
        <v>T4</v>
      </c>
    </row>
    <row r="8" spans="1:9" x14ac:dyDescent="0.3">
      <c r="A8" s="6"/>
      <c r="B8" s="4" t="s">
        <v>17</v>
      </c>
      <c r="C8" s="4" t="s">
        <v>10</v>
      </c>
      <c r="D8" s="4"/>
      <c r="E8" s="5" t="s">
        <v>18</v>
      </c>
      <c r="F8" s="5" t="s">
        <v>12</v>
      </c>
      <c r="G8" s="5" t="s">
        <v>19</v>
      </c>
      <c r="H8" s="4" t="str">
        <f>E7</f>
        <v>T4</v>
      </c>
      <c r="I8" s="4" t="str">
        <f>G8</f>
        <v>T3</v>
      </c>
    </row>
    <row r="9" spans="1:9" x14ac:dyDescent="0.3">
      <c r="A9" s="6"/>
      <c r="B9" s="4" t="s">
        <v>17</v>
      </c>
      <c r="C9" s="4" t="s">
        <v>20</v>
      </c>
      <c r="D9" s="4"/>
      <c r="E9" s="7" t="s">
        <v>49</v>
      </c>
      <c r="F9" s="7" t="s">
        <v>12</v>
      </c>
      <c r="G9" s="7" t="s">
        <v>52</v>
      </c>
      <c r="H9" s="4" t="str">
        <f>G7</f>
        <v>T8</v>
      </c>
      <c r="I9" s="4" t="str">
        <f>E9</f>
        <v>G4</v>
      </c>
    </row>
    <row r="10" spans="1:9" x14ac:dyDescent="0.3">
      <c r="A10" s="10"/>
    </row>
    <row r="11" spans="1:9" x14ac:dyDescent="0.3">
      <c r="A11" s="3" t="s">
        <v>24</v>
      </c>
      <c r="B11" s="11" t="s">
        <v>9</v>
      </c>
      <c r="C11" s="4" t="s">
        <v>10</v>
      </c>
      <c r="D11" s="4" t="str">
        <f t="shared" ref="D11:D61" si="1">E11</f>
        <v>T4</v>
      </c>
      <c r="E11" s="5" t="s">
        <v>21</v>
      </c>
      <c r="F11" s="5" t="s">
        <v>12</v>
      </c>
      <c r="G11" s="5" t="s">
        <v>11</v>
      </c>
      <c r="H11" s="4" t="str">
        <f>E14</f>
        <v>T5</v>
      </c>
      <c r="I11" s="4"/>
    </row>
    <row r="12" spans="1:9" x14ac:dyDescent="0.3">
      <c r="A12" s="6">
        <f>A3+7</f>
        <v>45707</v>
      </c>
      <c r="B12" s="11" t="s">
        <v>9</v>
      </c>
      <c r="C12" s="4" t="s">
        <v>20</v>
      </c>
      <c r="D12" s="4" t="str">
        <f t="shared" si="1"/>
        <v>T3</v>
      </c>
      <c r="E12" s="5" t="s">
        <v>19</v>
      </c>
      <c r="F12" s="5" t="s">
        <v>12</v>
      </c>
      <c r="G12" s="5" t="s">
        <v>13</v>
      </c>
      <c r="H12" s="4" t="str">
        <f>G14</f>
        <v>T8</v>
      </c>
      <c r="I12" s="4"/>
    </row>
    <row r="13" spans="1:9" x14ac:dyDescent="0.3">
      <c r="A13" s="3"/>
      <c r="B13" s="11" t="s">
        <v>9</v>
      </c>
      <c r="C13" s="4" t="s">
        <v>23</v>
      </c>
      <c r="D13" s="4" t="str">
        <f t="shared" si="1"/>
        <v>G4</v>
      </c>
      <c r="E13" s="7" t="s">
        <v>49</v>
      </c>
      <c r="F13" s="7" t="s">
        <v>12</v>
      </c>
      <c r="G13" s="7" t="s">
        <v>45</v>
      </c>
      <c r="H13" s="4" t="str">
        <f>G16</f>
        <v>G6</v>
      </c>
      <c r="I13" s="4"/>
    </row>
    <row r="14" spans="1:9" x14ac:dyDescent="0.3">
      <c r="A14" s="6"/>
      <c r="B14" s="4" t="s">
        <v>14</v>
      </c>
      <c r="C14" s="4" t="s">
        <v>10</v>
      </c>
      <c r="D14" s="4"/>
      <c r="E14" s="5" t="s">
        <v>16</v>
      </c>
      <c r="F14" s="5" t="s">
        <v>12</v>
      </c>
      <c r="G14" s="5" t="s">
        <v>22</v>
      </c>
      <c r="H14" s="4" t="str">
        <f>G11</f>
        <v>T2</v>
      </c>
      <c r="I14" s="4"/>
    </row>
    <row r="15" spans="1:9" x14ac:dyDescent="0.3">
      <c r="A15" s="3"/>
      <c r="B15" s="4" t="s">
        <v>14</v>
      </c>
      <c r="C15" s="4" t="s">
        <v>20</v>
      </c>
      <c r="D15" s="4"/>
      <c r="E15" s="5" t="s">
        <v>15</v>
      </c>
      <c r="F15" s="5" t="s">
        <v>12</v>
      </c>
      <c r="G15" s="5" t="s">
        <v>18</v>
      </c>
      <c r="H15" s="4" t="str">
        <f>G12</f>
        <v>T6</v>
      </c>
      <c r="I15" s="4"/>
    </row>
    <row r="16" spans="1:9" x14ac:dyDescent="0.3">
      <c r="A16" s="6"/>
      <c r="B16" s="4" t="s">
        <v>14</v>
      </c>
      <c r="C16" s="4" t="s">
        <v>23</v>
      </c>
      <c r="D16" s="4"/>
      <c r="E16" s="7" t="s">
        <v>48</v>
      </c>
      <c r="F16" s="7" t="s">
        <v>12</v>
      </c>
      <c r="G16" s="7" t="s">
        <v>46</v>
      </c>
      <c r="H16" s="4" t="str">
        <f>G13</f>
        <v>G2</v>
      </c>
      <c r="I16" s="4" t="str">
        <f>E16</f>
        <v>G3</v>
      </c>
    </row>
    <row r="17" spans="1:9" x14ac:dyDescent="0.3">
      <c r="A17" s="6"/>
      <c r="B17" s="4" t="s">
        <v>17</v>
      </c>
      <c r="C17" s="4" t="s">
        <v>10</v>
      </c>
      <c r="D17" s="4"/>
      <c r="E17" s="7" t="s">
        <v>47</v>
      </c>
      <c r="F17" s="7" t="s">
        <v>12</v>
      </c>
      <c r="G17" s="7" t="s">
        <v>52</v>
      </c>
      <c r="H17" s="4" t="str">
        <f>E15</f>
        <v>T1</v>
      </c>
      <c r="I17" s="4" t="str">
        <f>E17</f>
        <v>G5</v>
      </c>
    </row>
    <row r="18" spans="1:9" x14ac:dyDescent="0.3">
      <c r="A18" s="6"/>
      <c r="B18" s="4" t="s">
        <v>17</v>
      </c>
      <c r="C18" s="4" t="s">
        <v>20</v>
      </c>
      <c r="D18" s="4"/>
      <c r="E18" s="7" t="s">
        <v>51</v>
      </c>
      <c r="F18" s="7" t="s">
        <v>12</v>
      </c>
      <c r="G18" s="7" t="s">
        <v>50</v>
      </c>
      <c r="H18" s="4" t="str">
        <f>G15</f>
        <v>T7</v>
      </c>
      <c r="I18" s="4" t="str">
        <f>E18</f>
        <v>G1</v>
      </c>
    </row>
    <row r="19" spans="1:9" x14ac:dyDescent="0.3">
      <c r="A19" s="10"/>
    </row>
    <row r="20" spans="1:9" x14ac:dyDescent="0.3">
      <c r="A20" s="3" t="s">
        <v>25</v>
      </c>
      <c r="B20" s="11" t="s">
        <v>9</v>
      </c>
      <c r="C20" s="4" t="s">
        <v>10</v>
      </c>
      <c r="D20" s="4" t="str">
        <f t="shared" ref="D20" si="2">E20</f>
        <v>G6</v>
      </c>
      <c r="E20" s="7" t="s">
        <v>46</v>
      </c>
      <c r="F20" s="7" t="s">
        <v>12</v>
      </c>
      <c r="G20" s="7" t="s">
        <v>51</v>
      </c>
      <c r="H20" s="4" t="str">
        <f>E25</f>
        <v>G8</v>
      </c>
      <c r="I20" s="4"/>
    </row>
    <row r="21" spans="1:9" x14ac:dyDescent="0.3">
      <c r="A21" s="6">
        <f>A12+7</f>
        <v>45714</v>
      </c>
      <c r="B21" s="11" t="s">
        <v>9</v>
      </c>
      <c r="C21" s="4" t="s">
        <v>20</v>
      </c>
      <c r="D21" s="4" t="str">
        <f t="shared" si="1"/>
        <v>G4</v>
      </c>
      <c r="E21" s="7" t="s">
        <v>49</v>
      </c>
      <c r="F21" s="7" t="s">
        <v>12</v>
      </c>
      <c r="G21" s="7" t="s">
        <v>47</v>
      </c>
      <c r="H21" s="4" t="str">
        <f>G25</f>
        <v>G7</v>
      </c>
      <c r="I21" s="4"/>
    </row>
    <row r="22" spans="1:9" x14ac:dyDescent="0.3">
      <c r="A22" s="3"/>
      <c r="B22" s="11" t="s">
        <v>9</v>
      </c>
      <c r="C22" s="4" t="s">
        <v>23</v>
      </c>
      <c r="D22" s="4" t="str">
        <f t="shared" si="1"/>
        <v>G2</v>
      </c>
      <c r="E22" s="7" t="s">
        <v>45</v>
      </c>
      <c r="F22" s="7" t="s">
        <v>12</v>
      </c>
      <c r="G22" s="7" t="s">
        <v>48</v>
      </c>
      <c r="H22" s="4" t="str">
        <f>E23</f>
        <v>T8</v>
      </c>
      <c r="I22" s="4"/>
    </row>
    <row r="23" spans="1:9" x14ac:dyDescent="0.3">
      <c r="A23" s="6"/>
      <c r="B23" s="4" t="s">
        <v>14</v>
      </c>
      <c r="C23" s="4" t="s">
        <v>10</v>
      </c>
      <c r="D23" s="4"/>
      <c r="E23" s="5" t="s">
        <v>22</v>
      </c>
      <c r="F23" s="5" t="s">
        <v>12</v>
      </c>
      <c r="G23" s="5" t="s">
        <v>18</v>
      </c>
      <c r="H23" s="4" t="str">
        <f>E27</f>
        <v>T3</v>
      </c>
      <c r="I23" s="4"/>
    </row>
    <row r="24" spans="1:9" x14ac:dyDescent="0.3">
      <c r="A24" s="3"/>
      <c r="B24" s="4" t="s">
        <v>14</v>
      </c>
      <c r="C24" s="4" t="s">
        <v>20</v>
      </c>
      <c r="D24" s="4"/>
      <c r="E24" s="5" t="s">
        <v>21</v>
      </c>
      <c r="F24" s="5" t="s">
        <v>12</v>
      </c>
      <c r="G24" s="5" t="s">
        <v>16</v>
      </c>
      <c r="H24" s="4" t="str">
        <f>G27</f>
        <v>T2</v>
      </c>
      <c r="I24" s="4"/>
    </row>
    <row r="25" spans="1:9" x14ac:dyDescent="0.3">
      <c r="A25" s="6"/>
      <c r="B25" s="4" t="s">
        <v>14</v>
      </c>
      <c r="C25" s="4" t="s">
        <v>23</v>
      </c>
      <c r="D25" s="4"/>
      <c r="E25" s="7" t="s">
        <v>52</v>
      </c>
      <c r="F25" s="7" t="s">
        <v>12</v>
      </c>
      <c r="G25" s="7" t="s">
        <v>50</v>
      </c>
      <c r="H25" s="4" t="str">
        <f>G22</f>
        <v>G3</v>
      </c>
      <c r="I25" s="4" t="str">
        <f t="shared" ref="I25:I27" si="3">G25</f>
        <v>G7</v>
      </c>
    </row>
    <row r="26" spans="1:9" x14ac:dyDescent="0.3">
      <c r="A26" s="6"/>
      <c r="B26" s="4" t="s">
        <v>17</v>
      </c>
      <c r="C26" s="4" t="s">
        <v>10</v>
      </c>
      <c r="D26" s="4"/>
      <c r="E26" s="5" t="s">
        <v>15</v>
      </c>
      <c r="F26" s="5" t="s">
        <v>12</v>
      </c>
      <c r="G26" s="5" t="s">
        <v>13</v>
      </c>
      <c r="H26" s="4" t="str">
        <f>E24</f>
        <v>T4</v>
      </c>
      <c r="I26" s="4" t="str">
        <f t="shared" si="3"/>
        <v>T6</v>
      </c>
    </row>
    <row r="27" spans="1:9" x14ac:dyDescent="0.3">
      <c r="A27" s="6"/>
      <c r="B27" s="4" t="s">
        <v>17</v>
      </c>
      <c r="C27" s="4" t="s">
        <v>20</v>
      </c>
      <c r="D27" s="4"/>
      <c r="E27" s="5" t="s">
        <v>19</v>
      </c>
      <c r="F27" s="5" t="s">
        <v>12</v>
      </c>
      <c r="G27" s="5" t="s">
        <v>11</v>
      </c>
      <c r="H27" s="4" t="str">
        <f>G24</f>
        <v>T5</v>
      </c>
      <c r="I27" s="4" t="str">
        <f t="shared" si="3"/>
        <v>T2</v>
      </c>
    </row>
    <row r="28" spans="1:9" x14ac:dyDescent="0.3">
      <c r="A28" s="10"/>
    </row>
    <row r="29" spans="1:9" x14ac:dyDescent="0.3">
      <c r="A29" s="3" t="s">
        <v>26</v>
      </c>
      <c r="B29" s="11" t="s">
        <v>9</v>
      </c>
      <c r="C29" s="4" t="s">
        <v>10</v>
      </c>
      <c r="D29" s="4" t="str">
        <f t="shared" ref="D29" si="4">E29</f>
        <v>T1</v>
      </c>
      <c r="E29" s="5" t="s">
        <v>15</v>
      </c>
      <c r="F29" s="5" t="s">
        <v>12</v>
      </c>
      <c r="G29" s="5" t="s">
        <v>19</v>
      </c>
      <c r="H29" s="4" t="str">
        <f>E32</f>
        <v>T8</v>
      </c>
      <c r="I29" s="4"/>
    </row>
    <row r="30" spans="1:9" x14ac:dyDescent="0.3">
      <c r="A30" s="6">
        <f>A21+7</f>
        <v>45721</v>
      </c>
      <c r="B30" s="11" t="s">
        <v>9</v>
      </c>
      <c r="C30" s="4" t="s">
        <v>20</v>
      </c>
      <c r="D30" s="4" t="str">
        <f t="shared" si="1"/>
        <v>T7</v>
      </c>
      <c r="E30" s="5" t="s">
        <v>18</v>
      </c>
      <c r="F30" s="5" t="s">
        <v>12</v>
      </c>
      <c r="G30" s="5" t="s">
        <v>21</v>
      </c>
      <c r="H30" s="4" t="str">
        <f>G32</f>
        <v>T6</v>
      </c>
      <c r="I30" s="4"/>
    </row>
    <row r="31" spans="1:9" x14ac:dyDescent="0.3">
      <c r="A31" s="3"/>
      <c r="B31" s="11" t="s">
        <v>9</v>
      </c>
      <c r="C31" s="4" t="s">
        <v>23</v>
      </c>
      <c r="D31" s="4" t="str">
        <f t="shared" si="1"/>
        <v>G3</v>
      </c>
      <c r="E31" s="7" t="s">
        <v>48</v>
      </c>
      <c r="F31" s="7" t="s">
        <v>12</v>
      </c>
      <c r="G31" s="7" t="s">
        <v>51</v>
      </c>
      <c r="H31" s="4" t="str">
        <f>E33</f>
        <v>G7</v>
      </c>
      <c r="I31" s="4"/>
    </row>
    <row r="32" spans="1:9" x14ac:dyDescent="0.3">
      <c r="A32" s="6"/>
      <c r="B32" s="4" t="s">
        <v>14</v>
      </c>
      <c r="C32" s="4" t="s">
        <v>10</v>
      </c>
      <c r="D32" s="4"/>
      <c r="E32" s="5" t="s">
        <v>22</v>
      </c>
      <c r="F32" s="5" t="s">
        <v>12</v>
      </c>
      <c r="G32" s="5" t="s">
        <v>13</v>
      </c>
      <c r="H32" s="4" t="str">
        <f>E35</f>
        <v>T5</v>
      </c>
      <c r="I32" s="4"/>
    </row>
    <row r="33" spans="1:9" x14ac:dyDescent="0.3">
      <c r="A33" s="3"/>
      <c r="B33" s="4" t="s">
        <v>14</v>
      </c>
      <c r="C33" s="4" t="s">
        <v>20</v>
      </c>
      <c r="D33" s="4"/>
      <c r="E33" s="7" t="s">
        <v>50</v>
      </c>
      <c r="F33" s="7" t="s">
        <v>12</v>
      </c>
      <c r="G33" s="7" t="s">
        <v>49</v>
      </c>
      <c r="H33" s="4" t="str">
        <f>G31</f>
        <v>G1</v>
      </c>
      <c r="I33" s="4"/>
    </row>
    <row r="34" spans="1:9" x14ac:dyDescent="0.3">
      <c r="A34" s="6"/>
      <c r="B34" s="4" t="s">
        <v>14</v>
      </c>
      <c r="C34" s="4" t="s">
        <v>23</v>
      </c>
      <c r="D34" s="4"/>
      <c r="E34" s="7" t="s">
        <v>52</v>
      </c>
      <c r="F34" s="7" t="s">
        <v>12</v>
      </c>
      <c r="G34" s="7" t="s">
        <v>46</v>
      </c>
      <c r="H34" s="4" t="str">
        <f>G30</f>
        <v>T4</v>
      </c>
      <c r="I34" s="4" t="str">
        <f t="shared" ref="I34:I36" si="5">G34</f>
        <v>G6</v>
      </c>
    </row>
    <row r="35" spans="1:9" x14ac:dyDescent="0.3">
      <c r="A35" s="6"/>
      <c r="B35" s="11" t="s">
        <v>17</v>
      </c>
      <c r="C35" s="4" t="s">
        <v>10</v>
      </c>
      <c r="D35" s="4"/>
      <c r="E35" s="5" t="s">
        <v>16</v>
      </c>
      <c r="F35" s="5" t="s">
        <v>12</v>
      </c>
      <c r="G35" s="5" t="s">
        <v>11</v>
      </c>
      <c r="H35" s="4" t="str">
        <f>E34</f>
        <v>G8</v>
      </c>
      <c r="I35" s="4" t="str">
        <f>E35</f>
        <v>T5</v>
      </c>
    </row>
    <row r="36" spans="1:9" x14ac:dyDescent="0.3">
      <c r="A36" s="6"/>
      <c r="B36" s="11" t="s">
        <v>17</v>
      </c>
      <c r="C36" s="4" t="s">
        <v>20</v>
      </c>
      <c r="D36" s="4"/>
      <c r="E36" s="7" t="s">
        <v>47</v>
      </c>
      <c r="F36" s="7" t="s">
        <v>12</v>
      </c>
      <c r="G36" s="7" t="s">
        <v>45</v>
      </c>
      <c r="H36" s="4" t="str">
        <f>G33</f>
        <v>G4</v>
      </c>
      <c r="I36" s="4" t="str">
        <f t="shared" si="5"/>
        <v>G2</v>
      </c>
    </row>
    <row r="37" spans="1:9" x14ac:dyDescent="0.3">
      <c r="A37" s="10"/>
    </row>
    <row r="38" spans="1:9" x14ac:dyDescent="0.3">
      <c r="A38" s="10"/>
    </row>
    <row r="39" spans="1:9" x14ac:dyDescent="0.3">
      <c r="A39" s="10"/>
    </row>
    <row r="40" spans="1:9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 t="s">
        <v>6</v>
      </c>
      <c r="I40" s="1" t="s">
        <v>7</v>
      </c>
    </row>
    <row r="41" spans="1:9" x14ac:dyDescent="0.3">
      <c r="A41" s="3" t="s">
        <v>27</v>
      </c>
      <c r="B41" s="4" t="s">
        <v>9</v>
      </c>
      <c r="C41" s="4" t="s">
        <v>10</v>
      </c>
      <c r="D41" s="4" t="str">
        <f t="shared" ref="D41" si="6">E41</f>
        <v>G4</v>
      </c>
      <c r="E41" s="7" t="s">
        <v>49</v>
      </c>
      <c r="F41" s="7" t="s">
        <v>12</v>
      </c>
      <c r="G41" s="7" t="s">
        <v>46</v>
      </c>
      <c r="H41" s="4" t="str">
        <f>E46</f>
        <v>G3</v>
      </c>
      <c r="I41" s="4"/>
    </row>
    <row r="42" spans="1:9" x14ac:dyDescent="0.3">
      <c r="A42" s="6">
        <f>A30+7</f>
        <v>45728</v>
      </c>
      <c r="B42" s="4" t="s">
        <v>9</v>
      </c>
      <c r="C42" s="4" t="s">
        <v>20</v>
      </c>
      <c r="D42" s="4" t="str">
        <f t="shared" si="1"/>
        <v>G2</v>
      </c>
      <c r="E42" s="7" t="s">
        <v>45</v>
      </c>
      <c r="F42" s="7" t="s">
        <v>12</v>
      </c>
      <c r="G42" s="7" t="s">
        <v>51</v>
      </c>
      <c r="H42" s="4" t="str">
        <f>G46</f>
        <v>G8</v>
      </c>
      <c r="I42" s="4"/>
    </row>
    <row r="43" spans="1:9" x14ac:dyDescent="0.3">
      <c r="A43" s="3"/>
      <c r="B43" s="4" t="s">
        <v>9</v>
      </c>
      <c r="C43" s="4" t="s">
        <v>23</v>
      </c>
      <c r="D43" s="4" t="str">
        <f>G43</f>
        <v>G5</v>
      </c>
      <c r="E43" s="7" t="s">
        <v>50</v>
      </c>
      <c r="F43" s="7" t="s">
        <v>12</v>
      </c>
      <c r="G43" s="7" t="s">
        <v>47</v>
      </c>
      <c r="H43" s="4" t="str">
        <f>E44</f>
        <v>T2</v>
      </c>
      <c r="I43" s="4"/>
    </row>
    <row r="44" spans="1:9" x14ac:dyDescent="0.3">
      <c r="A44" s="6"/>
      <c r="B44" s="4" t="s">
        <v>14</v>
      </c>
      <c r="C44" s="4" t="s">
        <v>10</v>
      </c>
      <c r="D44" s="4"/>
      <c r="E44" s="5" t="s">
        <v>11</v>
      </c>
      <c r="F44" s="5" t="s">
        <v>12</v>
      </c>
      <c r="G44" s="5" t="s">
        <v>15</v>
      </c>
      <c r="H44" s="4" t="str">
        <f>E47</f>
        <v>T3</v>
      </c>
      <c r="I44" s="4"/>
    </row>
    <row r="45" spans="1:9" x14ac:dyDescent="0.3">
      <c r="A45" s="3"/>
      <c r="B45" s="4" t="s">
        <v>14</v>
      </c>
      <c r="C45" s="4" t="s">
        <v>20</v>
      </c>
      <c r="D45" s="4"/>
      <c r="E45" s="5" t="s">
        <v>16</v>
      </c>
      <c r="F45" s="5" t="s">
        <v>12</v>
      </c>
      <c r="G45" s="5" t="s">
        <v>18</v>
      </c>
      <c r="H45" s="4" t="str">
        <f>E48</f>
        <v>T4</v>
      </c>
      <c r="I45" s="4"/>
    </row>
    <row r="46" spans="1:9" x14ac:dyDescent="0.3">
      <c r="A46" s="6"/>
      <c r="B46" s="4" t="s">
        <v>14</v>
      </c>
      <c r="C46" s="4" t="s">
        <v>23</v>
      </c>
      <c r="D46" s="4"/>
      <c r="E46" s="7" t="s">
        <v>48</v>
      </c>
      <c r="F46" s="7" t="s">
        <v>12</v>
      </c>
      <c r="G46" s="7" t="s">
        <v>52</v>
      </c>
      <c r="H46" s="4" t="str">
        <f>G43</f>
        <v>G5</v>
      </c>
      <c r="I46" s="4" t="str">
        <f t="shared" ref="I46:I48" si="7">G46</f>
        <v>G8</v>
      </c>
    </row>
    <row r="47" spans="1:9" x14ac:dyDescent="0.3">
      <c r="A47" s="6"/>
      <c r="B47" s="4" t="s">
        <v>17</v>
      </c>
      <c r="C47" s="4" t="s">
        <v>10</v>
      </c>
      <c r="D47" s="4"/>
      <c r="E47" s="5" t="s">
        <v>19</v>
      </c>
      <c r="F47" s="5" t="s">
        <v>12</v>
      </c>
      <c r="G47" s="5" t="s">
        <v>22</v>
      </c>
      <c r="H47" s="4" t="str">
        <f>G44</f>
        <v>T1</v>
      </c>
      <c r="I47" s="4" t="str">
        <f t="shared" si="7"/>
        <v>T8</v>
      </c>
    </row>
    <row r="48" spans="1:9" x14ac:dyDescent="0.3">
      <c r="A48" s="6"/>
      <c r="B48" s="4" t="s">
        <v>17</v>
      </c>
      <c r="C48" s="4" t="s">
        <v>20</v>
      </c>
      <c r="D48" s="4"/>
      <c r="E48" s="5" t="s">
        <v>21</v>
      </c>
      <c r="F48" s="5" t="s">
        <v>12</v>
      </c>
      <c r="G48" s="5" t="s">
        <v>13</v>
      </c>
      <c r="H48" s="4" t="str">
        <f>G45</f>
        <v>T7</v>
      </c>
      <c r="I48" s="4" t="str">
        <f t="shared" si="7"/>
        <v>T6</v>
      </c>
    </row>
    <row r="49" spans="1:9" x14ac:dyDescent="0.3">
      <c r="A49" s="10"/>
    </row>
    <row r="50" spans="1:9" x14ac:dyDescent="0.3">
      <c r="A50" s="3" t="s">
        <v>28</v>
      </c>
      <c r="B50" s="4" t="s">
        <v>9</v>
      </c>
      <c r="C50" s="4" t="s">
        <v>10</v>
      </c>
      <c r="D50" s="4" t="str">
        <f t="shared" ref="D50" si="8">E50</f>
        <v>T7</v>
      </c>
      <c r="E50" s="5" t="s">
        <v>18</v>
      </c>
      <c r="F50" s="5" t="s">
        <v>12</v>
      </c>
      <c r="G50" s="5" t="s">
        <v>11</v>
      </c>
      <c r="H50" s="4" t="str">
        <f>E53</f>
        <v>T6</v>
      </c>
      <c r="I50" s="4"/>
    </row>
    <row r="51" spans="1:9" x14ac:dyDescent="0.3">
      <c r="A51" s="6">
        <f>A42+7</f>
        <v>45735</v>
      </c>
      <c r="B51" s="4" t="s">
        <v>9</v>
      </c>
      <c r="C51" s="4" t="s">
        <v>20</v>
      </c>
      <c r="D51" s="4" t="str">
        <f t="shared" si="1"/>
        <v>T8</v>
      </c>
      <c r="E51" s="5" t="s">
        <v>22</v>
      </c>
      <c r="F51" s="5" t="s">
        <v>12</v>
      </c>
      <c r="G51" s="5" t="s">
        <v>15</v>
      </c>
      <c r="H51" s="4" t="str">
        <f>E54</f>
        <v>T4</v>
      </c>
      <c r="I51" s="4"/>
    </row>
    <row r="52" spans="1:9" x14ac:dyDescent="0.3">
      <c r="A52" s="3"/>
      <c r="B52" s="4" t="s">
        <v>9</v>
      </c>
      <c r="C52" s="4" t="s">
        <v>23</v>
      </c>
      <c r="D52" s="4" t="str">
        <f t="shared" si="1"/>
        <v>G7</v>
      </c>
      <c r="E52" s="7" t="s">
        <v>50</v>
      </c>
      <c r="F52" s="7" t="s">
        <v>12</v>
      </c>
      <c r="G52" s="7" t="s">
        <v>45</v>
      </c>
      <c r="H52" s="4" t="str">
        <f>E55</f>
        <v>G1</v>
      </c>
      <c r="I52" s="4"/>
    </row>
    <row r="53" spans="1:9" x14ac:dyDescent="0.3">
      <c r="A53" s="6"/>
      <c r="B53" s="4" t="s">
        <v>14</v>
      </c>
      <c r="C53" s="4" t="s">
        <v>10</v>
      </c>
      <c r="D53" s="4"/>
      <c r="E53" s="5" t="s">
        <v>13</v>
      </c>
      <c r="F53" s="5" t="s">
        <v>12</v>
      </c>
      <c r="G53" s="5" t="s">
        <v>16</v>
      </c>
      <c r="H53" s="4" t="str">
        <f>G50</f>
        <v>T2</v>
      </c>
      <c r="I53" s="4"/>
    </row>
    <row r="54" spans="1:9" x14ac:dyDescent="0.3">
      <c r="A54" s="3"/>
      <c r="B54" s="4" t="s">
        <v>14</v>
      </c>
      <c r="C54" s="4" t="s">
        <v>20</v>
      </c>
      <c r="D54" s="4"/>
      <c r="E54" s="5" t="s">
        <v>21</v>
      </c>
      <c r="F54" s="5" t="s">
        <v>12</v>
      </c>
      <c r="G54" s="5" t="s">
        <v>19</v>
      </c>
      <c r="H54" s="4" t="str">
        <f>G51</f>
        <v>T1</v>
      </c>
      <c r="I54" s="4"/>
    </row>
    <row r="55" spans="1:9" x14ac:dyDescent="0.3">
      <c r="A55" s="6"/>
      <c r="B55" s="4" t="s">
        <v>14</v>
      </c>
      <c r="C55" s="4" t="s">
        <v>23</v>
      </c>
      <c r="D55" s="4"/>
      <c r="E55" s="7" t="s">
        <v>51</v>
      </c>
      <c r="F55" s="7" t="s">
        <v>12</v>
      </c>
      <c r="G55" s="7" t="s">
        <v>52</v>
      </c>
      <c r="H55" s="4" t="str">
        <f>G52</f>
        <v>G2</v>
      </c>
      <c r="I55" s="4" t="str">
        <f t="shared" ref="I55:I57" si="9">G55</f>
        <v>G8</v>
      </c>
    </row>
    <row r="56" spans="1:9" x14ac:dyDescent="0.3">
      <c r="A56" s="6"/>
      <c r="B56" s="4" t="s">
        <v>17</v>
      </c>
      <c r="C56" s="4" t="s">
        <v>10</v>
      </c>
      <c r="D56" s="4"/>
      <c r="E56" s="7" t="s">
        <v>46</v>
      </c>
      <c r="F56" s="7" t="s">
        <v>12</v>
      </c>
      <c r="G56" s="7" t="s">
        <v>47</v>
      </c>
      <c r="H56" s="4" t="str">
        <f>G53</f>
        <v>T5</v>
      </c>
      <c r="I56" s="4" t="str">
        <f t="shared" si="9"/>
        <v>G5</v>
      </c>
    </row>
    <row r="57" spans="1:9" x14ac:dyDescent="0.3">
      <c r="A57" s="6"/>
      <c r="B57" s="4" t="s">
        <v>17</v>
      </c>
      <c r="C57" s="4" t="s">
        <v>20</v>
      </c>
      <c r="D57" s="4"/>
      <c r="E57" s="7" t="s">
        <v>49</v>
      </c>
      <c r="F57" s="7" t="s">
        <v>12</v>
      </c>
      <c r="G57" s="7" t="s">
        <v>48</v>
      </c>
      <c r="H57" s="4" t="str">
        <f>G54</f>
        <v>T3</v>
      </c>
      <c r="I57" s="4" t="str">
        <f t="shared" si="9"/>
        <v>G3</v>
      </c>
    </row>
    <row r="58" spans="1:9" x14ac:dyDescent="0.3">
      <c r="A58" s="10"/>
    </row>
    <row r="59" spans="1:9" x14ac:dyDescent="0.3">
      <c r="A59" s="3" t="s">
        <v>29</v>
      </c>
      <c r="B59" s="4" t="s">
        <v>9</v>
      </c>
      <c r="C59" s="4" t="s">
        <v>10</v>
      </c>
      <c r="D59" s="4" t="str">
        <f t="shared" ref="D59" si="10">E59</f>
        <v>T5</v>
      </c>
      <c r="E59" s="5" t="s">
        <v>16</v>
      </c>
      <c r="F59" s="5" t="s">
        <v>12</v>
      </c>
      <c r="G59" s="5" t="s">
        <v>19</v>
      </c>
      <c r="H59" s="4" t="str">
        <f>E62</f>
        <v>T7</v>
      </c>
      <c r="I59" s="4"/>
    </row>
    <row r="60" spans="1:9" x14ac:dyDescent="0.3">
      <c r="A60" s="6">
        <f>A51+7</f>
        <v>45742</v>
      </c>
      <c r="B60" s="4" t="s">
        <v>9</v>
      </c>
      <c r="C60" s="4" t="s">
        <v>20</v>
      </c>
      <c r="D60" s="4" t="str">
        <f t="shared" si="1"/>
        <v>G5</v>
      </c>
      <c r="E60" s="7" t="s">
        <v>47</v>
      </c>
      <c r="F60" s="7" t="s">
        <v>12</v>
      </c>
      <c r="G60" s="7" t="s">
        <v>48</v>
      </c>
      <c r="H60" s="4" t="str">
        <f>E64</f>
        <v>G1</v>
      </c>
      <c r="I60" s="4"/>
    </row>
    <row r="61" spans="1:9" x14ac:dyDescent="0.3">
      <c r="A61" s="3"/>
      <c r="B61" s="4" t="s">
        <v>9</v>
      </c>
      <c r="C61" s="4" t="s">
        <v>23</v>
      </c>
      <c r="D61" s="4" t="str">
        <f t="shared" si="1"/>
        <v>G7</v>
      </c>
      <c r="E61" s="7" t="s">
        <v>50</v>
      </c>
      <c r="F61" s="7" t="s">
        <v>12</v>
      </c>
      <c r="G61" s="7" t="s">
        <v>49</v>
      </c>
      <c r="H61" s="4" t="str">
        <f>G64</f>
        <v>G6</v>
      </c>
      <c r="I61" s="4"/>
    </row>
    <row r="62" spans="1:9" x14ac:dyDescent="0.3">
      <c r="A62" s="6"/>
      <c r="B62" s="4" t="s">
        <v>14</v>
      </c>
      <c r="C62" s="4" t="s">
        <v>10</v>
      </c>
      <c r="D62" s="4"/>
      <c r="E62" s="5" t="s">
        <v>18</v>
      </c>
      <c r="F62" s="5" t="s">
        <v>12</v>
      </c>
      <c r="G62" s="5" t="s">
        <v>21</v>
      </c>
      <c r="H62" s="4" t="str">
        <f>G59</f>
        <v>T3</v>
      </c>
      <c r="I62" s="4"/>
    </row>
    <row r="63" spans="1:9" x14ac:dyDescent="0.3">
      <c r="A63" s="3"/>
      <c r="B63" s="4" t="s">
        <v>14</v>
      </c>
      <c r="C63" s="4" t="s">
        <v>20</v>
      </c>
      <c r="D63" s="4"/>
      <c r="E63" s="5" t="s">
        <v>15</v>
      </c>
      <c r="F63" s="5" t="s">
        <v>12</v>
      </c>
      <c r="G63" s="5" t="s">
        <v>13</v>
      </c>
      <c r="H63" s="4" t="str">
        <f>G65</f>
        <v>T8</v>
      </c>
      <c r="I63" s="4"/>
    </row>
    <row r="64" spans="1:9" x14ac:dyDescent="0.3">
      <c r="A64" s="6"/>
      <c r="B64" s="4" t="s">
        <v>14</v>
      </c>
      <c r="C64" s="4" t="s">
        <v>23</v>
      </c>
      <c r="D64" s="4"/>
      <c r="E64" s="7" t="s">
        <v>51</v>
      </c>
      <c r="F64" s="7" t="s">
        <v>12</v>
      </c>
      <c r="G64" s="7" t="s">
        <v>46</v>
      </c>
      <c r="H64" s="4" t="str">
        <f>G61</f>
        <v>G4</v>
      </c>
      <c r="I64" s="4" t="str">
        <f t="shared" ref="I64:I66" si="11">G64</f>
        <v>G6</v>
      </c>
    </row>
    <row r="65" spans="1:9" x14ac:dyDescent="0.3">
      <c r="A65" s="6"/>
      <c r="B65" s="4" t="s">
        <v>17</v>
      </c>
      <c r="C65" s="4" t="s">
        <v>10</v>
      </c>
      <c r="D65" s="4"/>
      <c r="E65" s="5" t="s">
        <v>11</v>
      </c>
      <c r="F65" s="5" t="s">
        <v>12</v>
      </c>
      <c r="G65" s="5" t="s">
        <v>22</v>
      </c>
      <c r="H65" s="4" t="str">
        <f>E63</f>
        <v>T1</v>
      </c>
      <c r="I65" s="4" t="str">
        <f>E65</f>
        <v>T2</v>
      </c>
    </row>
    <row r="66" spans="1:9" x14ac:dyDescent="0.3">
      <c r="A66" s="6"/>
      <c r="B66" s="4" t="s">
        <v>17</v>
      </c>
      <c r="C66" s="4" t="s">
        <v>20</v>
      </c>
      <c r="D66" s="4"/>
      <c r="E66" s="7" t="s">
        <v>45</v>
      </c>
      <c r="F66" s="7" t="s">
        <v>12</v>
      </c>
      <c r="G66" s="7" t="s">
        <v>52</v>
      </c>
      <c r="H66" s="4" t="str">
        <f>G63</f>
        <v>T6</v>
      </c>
      <c r="I66" s="4" t="str">
        <f t="shared" si="11"/>
        <v>G8</v>
      </c>
    </row>
    <row r="67" spans="1:9" x14ac:dyDescent="0.3">
      <c r="A67" s="10"/>
    </row>
    <row r="68" spans="1:9" x14ac:dyDescent="0.3">
      <c r="A68" s="3" t="s">
        <v>34</v>
      </c>
      <c r="B68" s="4" t="s">
        <v>9</v>
      </c>
      <c r="C68" s="4" t="s">
        <v>10</v>
      </c>
      <c r="D68" s="4" t="str">
        <f>E68</f>
        <v>T2</v>
      </c>
      <c r="E68" s="5" t="s">
        <v>11</v>
      </c>
      <c r="F68" s="5" t="s">
        <v>12</v>
      </c>
      <c r="G68" s="5" t="s">
        <v>13</v>
      </c>
      <c r="H68" s="4" t="str">
        <f>E71</f>
        <v>T1</v>
      </c>
      <c r="I68" s="4"/>
    </row>
    <row r="69" spans="1:9" x14ac:dyDescent="0.3">
      <c r="A69" s="6">
        <f>A60+7</f>
        <v>45749</v>
      </c>
      <c r="B69" s="4" t="s">
        <v>9</v>
      </c>
      <c r="C69" s="4" t="s">
        <v>20</v>
      </c>
      <c r="D69" s="4" t="str">
        <f t="shared" ref="D69:D70" si="12">E69</f>
        <v>G1</v>
      </c>
      <c r="E69" s="7" t="s">
        <v>51</v>
      </c>
      <c r="F69" s="7" t="s">
        <v>12</v>
      </c>
      <c r="G69" s="7" t="s">
        <v>47</v>
      </c>
      <c r="H69" s="4" t="str">
        <f>E72</f>
        <v>G7</v>
      </c>
      <c r="I69" s="4"/>
    </row>
    <row r="70" spans="1:9" x14ac:dyDescent="0.3">
      <c r="A70" s="3"/>
      <c r="B70" s="4" t="s">
        <v>9</v>
      </c>
      <c r="C70" s="4" t="s">
        <v>23</v>
      </c>
      <c r="D70" s="4" t="str">
        <f t="shared" si="12"/>
        <v>G2</v>
      </c>
      <c r="E70" s="7" t="s">
        <v>45</v>
      </c>
      <c r="F70" s="7" t="s">
        <v>12</v>
      </c>
      <c r="G70" s="7" t="s">
        <v>46</v>
      </c>
      <c r="H70" s="4" t="str">
        <f>G72</f>
        <v>G3</v>
      </c>
      <c r="I70" s="4"/>
    </row>
    <row r="71" spans="1:9" x14ac:dyDescent="0.3">
      <c r="A71" s="6"/>
      <c r="B71" s="4" t="s">
        <v>14</v>
      </c>
      <c r="C71" s="4" t="s">
        <v>10</v>
      </c>
      <c r="D71" s="4"/>
      <c r="E71" s="5" t="s">
        <v>15</v>
      </c>
      <c r="F71" s="5" t="s">
        <v>12</v>
      </c>
      <c r="G71" s="5" t="s">
        <v>16</v>
      </c>
      <c r="H71" s="4" t="str">
        <f>G68</f>
        <v>T6</v>
      </c>
      <c r="I71" s="4"/>
    </row>
    <row r="72" spans="1:9" x14ac:dyDescent="0.3">
      <c r="A72" s="6"/>
      <c r="B72" s="4" t="s">
        <v>14</v>
      </c>
      <c r="C72" s="4" t="s">
        <v>20</v>
      </c>
      <c r="D72" s="4"/>
      <c r="E72" s="7" t="s">
        <v>50</v>
      </c>
      <c r="F72" s="7" t="s">
        <v>12</v>
      </c>
      <c r="G72" s="7" t="s">
        <v>48</v>
      </c>
      <c r="H72" s="4" t="str">
        <f>G69</f>
        <v>G5</v>
      </c>
      <c r="I72" s="4"/>
    </row>
    <row r="73" spans="1:9" x14ac:dyDescent="0.3">
      <c r="A73" s="6"/>
      <c r="B73" s="4" t="s">
        <v>14</v>
      </c>
      <c r="C73" s="4" t="s">
        <v>23</v>
      </c>
      <c r="D73" s="4"/>
      <c r="E73" s="5" t="s">
        <v>21</v>
      </c>
      <c r="F73" s="5" t="s">
        <v>12</v>
      </c>
      <c r="G73" s="5" t="s">
        <v>22</v>
      </c>
      <c r="H73" s="4" t="str">
        <f>E74</f>
        <v>T7</v>
      </c>
      <c r="I73" s="4" t="str">
        <f>E73</f>
        <v>T4</v>
      </c>
    </row>
    <row r="74" spans="1:9" x14ac:dyDescent="0.3">
      <c r="A74" s="6"/>
      <c r="B74" s="4" t="s">
        <v>17</v>
      </c>
      <c r="C74" s="4" t="s">
        <v>10</v>
      </c>
      <c r="D74" s="4"/>
      <c r="E74" s="5" t="s">
        <v>18</v>
      </c>
      <c r="F74" s="5" t="s">
        <v>12</v>
      </c>
      <c r="G74" s="5" t="s">
        <v>19</v>
      </c>
      <c r="H74" s="4" t="str">
        <f>E73</f>
        <v>T4</v>
      </c>
      <c r="I74" s="4" t="str">
        <f>G74</f>
        <v>T3</v>
      </c>
    </row>
    <row r="75" spans="1:9" x14ac:dyDescent="0.3">
      <c r="A75" s="6"/>
      <c r="B75" s="4" t="s">
        <v>17</v>
      </c>
      <c r="C75" s="4" t="s">
        <v>20</v>
      </c>
      <c r="D75" s="4"/>
      <c r="E75" s="7" t="s">
        <v>49</v>
      </c>
      <c r="F75" s="7" t="s">
        <v>12</v>
      </c>
      <c r="G75" s="7" t="s">
        <v>52</v>
      </c>
      <c r="H75" s="4" t="str">
        <f>G73</f>
        <v>T8</v>
      </c>
      <c r="I75" s="4" t="str">
        <f>E75</f>
        <v>G4</v>
      </c>
    </row>
    <row r="76" spans="1:9" x14ac:dyDescent="0.3">
      <c r="A76" s="10"/>
    </row>
    <row r="77" spans="1:9" x14ac:dyDescent="0.3">
      <c r="A77" s="13">
        <f>A69+7</f>
        <v>45756</v>
      </c>
      <c r="B77" s="86" t="s">
        <v>53</v>
      </c>
      <c r="C77" s="86"/>
      <c r="D77" s="86"/>
      <c r="E77" s="86"/>
      <c r="F77" s="86"/>
      <c r="G77" s="86"/>
      <c r="H77" s="86"/>
      <c r="I77" s="86"/>
    </row>
    <row r="78" spans="1:9" x14ac:dyDescent="0.3">
      <c r="A78" s="13">
        <f>A77+7</f>
        <v>45763</v>
      </c>
      <c r="B78" s="86"/>
      <c r="C78" s="86"/>
      <c r="D78" s="86"/>
      <c r="E78" s="86"/>
      <c r="F78" s="86"/>
      <c r="G78" s="86"/>
      <c r="H78" s="86"/>
      <c r="I78" s="86"/>
    </row>
    <row r="79" spans="1:9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/>
      <c r="G79" s="1" t="s">
        <v>5</v>
      </c>
      <c r="H79" s="1" t="s">
        <v>6</v>
      </c>
      <c r="I79" s="1" t="s">
        <v>7</v>
      </c>
    </row>
    <row r="80" spans="1:9" x14ac:dyDescent="0.3">
      <c r="A80" s="3" t="s">
        <v>35</v>
      </c>
      <c r="B80" s="11" t="s">
        <v>9</v>
      </c>
      <c r="C80" s="4" t="s">
        <v>10</v>
      </c>
      <c r="D80" s="4" t="str">
        <f t="shared" ref="D80:D100" si="13">E80</f>
        <v>T4</v>
      </c>
      <c r="E80" s="5" t="s">
        <v>21</v>
      </c>
      <c r="F80" s="5" t="s">
        <v>12</v>
      </c>
      <c r="G80" s="5" t="s">
        <v>11</v>
      </c>
      <c r="H80" s="4" t="str">
        <f>E83</f>
        <v>T5</v>
      </c>
      <c r="I80" s="4"/>
    </row>
    <row r="81" spans="1:9" x14ac:dyDescent="0.3">
      <c r="A81" s="6">
        <f>A69+21</f>
        <v>45770</v>
      </c>
      <c r="B81" s="11" t="s">
        <v>9</v>
      </c>
      <c r="C81" s="4" t="s">
        <v>20</v>
      </c>
      <c r="D81" s="4" t="str">
        <f t="shared" si="13"/>
        <v>T6</v>
      </c>
      <c r="E81" s="5" t="s">
        <v>13</v>
      </c>
      <c r="F81" s="5" t="s">
        <v>12</v>
      </c>
      <c r="G81" s="5" t="s">
        <v>19</v>
      </c>
      <c r="H81" s="4" t="str">
        <f>G83</f>
        <v>T8</v>
      </c>
      <c r="I81" s="4"/>
    </row>
    <row r="82" spans="1:9" x14ac:dyDescent="0.3">
      <c r="A82" s="3"/>
      <c r="B82" s="11" t="s">
        <v>9</v>
      </c>
      <c r="C82" s="4" t="s">
        <v>23</v>
      </c>
      <c r="D82" s="4" t="str">
        <f t="shared" si="13"/>
        <v>G4</v>
      </c>
      <c r="E82" s="7" t="s">
        <v>49</v>
      </c>
      <c r="F82" s="7" t="s">
        <v>12</v>
      </c>
      <c r="G82" s="7" t="s">
        <v>45</v>
      </c>
      <c r="H82" s="4" t="str">
        <f>G85</f>
        <v>G6</v>
      </c>
      <c r="I82" s="4"/>
    </row>
    <row r="83" spans="1:9" x14ac:dyDescent="0.3">
      <c r="A83" s="6"/>
      <c r="B83" s="4" t="s">
        <v>14</v>
      </c>
      <c r="C83" s="4" t="s">
        <v>10</v>
      </c>
      <c r="D83" s="4"/>
      <c r="E83" s="5" t="s">
        <v>16</v>
      </c>
      <c r="F83" s="5" t="s">
        <v>12</v>
      </c>
      <c r="G83" s="5" t="s">
        <v>22</v>
      </c>
      <c r="H83" s="4" t="str">
        <f>G80</f>
        <v>T2</v>
      </c>
      <c r="I83" s="4"/>
    </row>
    <row r="84" spans="1:9" x14ac:dyDescent="0.3">
      <c r="A84" s="3"/>
      <c r="B84" s="4" t="s">
        <v>14</v>
      </c>
      <c r="C84" s="4" t="s">
        <v>20</v>
      </c>
      <c r="D84" s="4"/>
      <c r="E84" s="5" t="s">
        <v>15</v>
      </c>
      <c r="F84" s="5" t="s">
        <v>12</v>
      </c>
      <c r="G84" s="5" t="s">
        <v>18</v>
      </c>
      <c r="H84" s="4" t="str">
        <f>G81</f>
        <v>T3</v>
      </c>
      <c r="I84" s="4"/>
    </row>
    <row r="85" spans="1:9" x14ac:dyDescent="0.3">
      <c r="A85" s="6"/>
      <c r="B85" s="4" t="s">
        <v>14</v>
      </c>
      <c r="C85" s="4" t="s">
        <v>23</v>
      </c>
      <c r="D85" s="4"/>
      <c r="E85" s="7" t="s">
        <v>48</v>
      </c>
      <c r="F85" s="7" t="s">
        <v>12</v>
      </c>
      <c r="G85" s="7" t="s">
        <v>46</v>
      </c>
      <c r="H85" s="4" t="str">
        <f>G82</f>
        <v>G2</v>
      </c>
      <c r="I85" s="4" t="str">
        <f>E85</f>
        <v>G3</v>
      </c>
    </row>
    <row r="86" spans="1:9" x14ac:dyDescent="0.3">
      <c r="A86" s="6"/>
      <c r="B86" s="4" t="s">
        <v>17</v>
      </c>
      <c r="C86" s="4" t="s">
        <v>10</v>
      </c>
      <c r="D86" s="4"/>
      <c r="E86" s="7" t="s">
        <v>47</v>
      </c>
      <c r="F86" s="7" t="s">
        <v>12</v>
      </c>
      <c r="G86" s="7" t="s">
        <v>52</v>
      </c>
      <c r="H86" s="4" t="str">
        <f>E84</f>
        <v>T1</v>
      </c>
      <c r="I86" s="4" t="str">
        <f>E86</f>
        <v>G5</v>
      </c>
    </row>
    <row r="87" spans="1:9" x14ac:dyDescent="0.3">
      <c r="A87" s="6"/>
      <c r="B87" s="4" t="s">
        <v>17</v>
      </c>
      <c r="C87" s="4" t="s">
        <v>20</v>
      </c>
      <c r="D87" s="4"/>
      <c r="E87" s="7" t="s">
        <v>51</v>
      </c>
      <c r="F87" s="7" t="s">
        <v>12</v>
      </c>
      <c r="G87" s="7" t="s">
        <v>50</v>
      </c>
      <c r="H87" s="4" t="str">
        <f>G84</f>
        <v>T7</v>
      </c>
      <c r="I87" s="4" t="str">
        <f>E87</f>
        <v>G1</v>
      </c>
    </row>
    <row r="88" spans="1:9" x14ac:dyDescent="0.3">
      <c r="A88" s="10"/>
    </row>
    <row r="89" spans="1:9" x14ac:dyDescent="0.3">
      <c r="A89" s="3" t="s">
        <v>36</v>
      </c>
      <c r="B89" s="11" t="s">
        <v>9</v>
      </c>
      <c r="C89" s="4" t="s">
        <v>10</v>
      </c>
      <c r="D89" s="4" t="str">
        <f t="shared" ref="D89" si="14">E89</f>
        <v>G6</v>
      </c>
      <c r="E89" s="7" t="s">
        <v>46</v>
      </c>
      <c r="F89" s="7" t="s">
        <v>12</v>
      </c>
      <c r="G89" s="7" t="s">
        <v>51</v>
      </c>
      <c r="H89" s="4" t="str">
        <f>E94</f>
        <v>G8</v>
      </c>
      <c r="I89" s="4"/>
    </row>
    <row r="90" spans="1:9" x14ac:dyDescent="0.3">
      <c r="A90" s="6">
        <f>A81+7</f>
        <v>45777</v>
      </c>
      <c r="B90" s="11" t="s">
        <v>9</v>
      </c>
      <c r="C90" s="4" t="s">
        <v>20</v>
      </c>
      <c r="D90" s="4" t="str">
        <f t="shared" si="13"/>
        <v>G4</v>
      </c>
      <c r="E90" s="7" t="s">
        <v>49</v>
      </c>
      <c r="F90" s="7" t="s">
        <v>12</v>
      </c>
      <c r="G90" s="7" t="s">
        <v>47</v>
      </c>
      <c r="H90" s="4" t="str">
        <f>G94</f>
        <v>G7</v>
      </c>
      <c r="I90" s="4"/>
    </row>
    <row r="91" spans="1:9" x14ac:dyDescent="0.3">
      <c r="A91" s="3"/>
      <c r="B91" s="11" t="s">
        <v>9</v>
      </c>
      <c r="C91" s="4" t="s">
        <v>23</v>
      </c>
      <c r="D91" s="4" t="str">
        <f t="shared" si="13"/>
        <v>G2</v>
      </c>
      <c r="E91" s="7" t="s">
        <v>45</v>
      </c>
      <c r="F91" s="7" t="s">
        <v>12</v>
      </c>
      <c r="G91" s="7" t="s">
        <v>48</v>
      </c>
      <c r="H91" s="4" t="str">
        <f>G92</f>
        <v>T7</v>
      </c>
      <c r="I91" s="4"/>
    </row>
    <row r="92" spans="1:9" x14ac:dyDescent="0.3">
      <c r="A92" s="6"/>
      <c r="B92" s="4" t="s">
        <v>14</v>
      </c>
      <c r="C92" s="4" t="s">
        <v>10</v>
      </c>
      <c r="D92" s="4"/>
      <c r="E92" s="5" t="s">
        <v>22</v>
      </c>
      <c r="F92" s="5" t="s">
        <v>12</v>
      </c>
      <c r="G92" s="5" t="s">
        <v>18</v>
      </c>
      <c r="H92" s="4" t="str">
        <f>E96</f>
        <v>T3</v>
      </c>
      <c r="I92" s="4"/>
    </row>
    <row r="93" spans="1:9" x14ac:dyDescent="0.3">
      <c r="A93" s="3"/>
      <c r="B93" s="4" t="s">
        <v>14</v>
      </c>
      <c r="C93" s="4" t="s">
        <v>20</v>
      </c>
      <c r="D93" s="4"/>
      <c r="E93" s="5" t="s">
        <v>21</v>
      </c>
      <c r="F93" s="5" t="s">
        <v>12</v>
      </c>
      <c r="G93" s="5" t="s">
        <v>16</v>
      </c>
      <c r="H93" s="4" t="str">
        <f>G96</f>
        <v>T2</v>
      </c>
      <c r="I93" s="4"/>
    </row>
    <row r="94" spans="1:9" x14ac:dyDescent="0.3">
      <c r="A94" s="6"/>
      <c r="B94" s="4" t="s">
        <v>14</v>
      </c>
      <c r="C94" s="4" t="s">
        <v>23</v>
      </c>
      <c r="D94" s="4"/>
      <c r="E94" s="7" t="s">
        <v>52</v>
      </c>
      <c r="F94" s="7" t="s">
        <v>12</v>
      </c>
      <c r="G94" s="7" t="s">
        <v>50</v>
      </c>
      <c r="H94" s="4" t="str">
        <f>G91</f>
        <v>G3</v>
      </c>
      <c r="I94" s="4" t="str">
        <f t="shared" ref="I94:I96" si="15">G94</f>
        <v>G7</v>
      </c>
    </row>
    <row r="95" spans="1:9" x14ac:dyDescent="0.3">
      <c r="A95" s="6"/>
      <c r="B95" s="4" t="s">
        <v>17</v>
      </c>
      <c r="C95" s="4" t="s">
        <v>10</v>
      </c>
      <c r="D95" s="4"/>
      <c r="E95" s="5" t="s">
        <v>15</v>
      </c>
      <c r="F95" s="5" t="s">
        <v>12</v>
      </c>
      <c r="G95" s="5" t="s">
        <v>13</v>
      </c>
      <c r="H95" s="4" t="str">
        <f>E93</f>
        <v>T4</v>
      </c>
      <c r="I95" s="4" t="str">
        <f t="shared" si="15"/>
        <v>T6</v>
      </c>
    </row>
    <row r="96" spans="1:9" x14ac:dyDescent="0.3">
      <c r="A96" s="6"/>
      <c r="B96" s="4" t="s">
        <v>17</v>
      </c>
      <c r="C96" s="4" t="s">
        <v>20</v>
      </c>
      <c r="D96" s="4"/>
      <c r="E96" s="5" t="s">
        <v>19</v>
      </c>
      <c r="F96" s="5" t="s">
        <v>12</v>
      </c>
      <c r="G96" s="5" t="s">
        <v>11</v>
      </c>
      <c r="H96" s="4" t="str">
        <f>G93</f>
        <v>T5</v>
      </c>
      <c r="I96" s="4" t="str">
        <f t="shared" si="15"/>
        <v>T2</v>
      </c>
    </row>
    <row r="97" spans="1:9" x14ac:dyDescent="0.3">
      <c r="A97" s="10"/>
    </row>
    <row r="98" spans="1:9" x14ac:dyDescent="0.3">
      <c r="A98" s="3" t="s">
        <v>37</v>
      </c>
      <c r="B98" s="11" t="s">
        <v>9</v>
      </c>
      <c r="C98" s="4" t="s">
        <v>10</v>
      </c>
      <c r="D98" s="4" t="str">
        <f t="shared" ref="D98" si="16">E98</f>
        <v>T1</v>
      </c>
      <c r="E98" s="5" t="s">
        <v>15</v>
      </c>
      <c r="F98" s="5" t="s">
        <v>12</v>
      </c>
      <c r="G98" s="5" t="s">
        <v>19</v>
      </c>
      <c r="H98" s="4" t="str">
        <f>E101</f>
        <v>T8</v>
      </c>
      <c r="I98" s="4"/>
    </row>
    <row r="99" spans="1:9" x14ac:dyDescent="0.3">
      <c r="A99" s="6">
        <f>A90+7</f>
        <v>45784</v>
      </c>
      <c r="B99" s="11" t="s">
        <v>9</v>
      </c>
      <c r="C99" s="4" t="s">
        <v>20</v>
      </c>
      <c r="D99" s="4" t="str">
        <f t="shared" si="13"/>
        <v>T7</v>
      </c>
      <c r="E99" s="5" t="s">
        <v>18</v>
      </c>
      <c r="F99" s="5" t="s">
        <v>12</v>
      </c>
      <c r="G99" s="5" t="s">
        <v>21</v>
      </c>
      <c r="H99" s="4" t="str">
        <f>G101</f>
        <v>T6</v>
      </c>
      <c r="I99" s="4"/>
    </row>
    <row r="100" spans="1:9" x14ac:dyDescent="0.3">
      <c r="A100" s="3"/>
      <c r="B100" s="11" t="s">
        <v>9</v>
      </c>
      <c r="C100" s="4" t="s">
        <v>23</v>
      </c>
      <c r="D100" s="4" t="str">
        <f t="shared" si="13"/>
        <v>G3</v>
      </c>
      <c r="E100" s="7" t="s">
        <v>48</v>
      </c>
      <c r="F100" s="7" t="s">
        <v>12</v>
      </c>
      <c r="G100" s="7" t="s">
        <v>51</v>
      </c>
      <c r="H100" s="4" t="str">
        <f>E102</f>
        <v>G7</v>
      </c>
      <c r="I100" s="4"/>
    </row>
    <row r="101" spans="1:9" x14ac:dyDescent="0.3">
      <c r="A101" s="6"/>
      <c r="B101" s="4" t="s">
        <v>14</v>
      </c>
      <c r="C101" s="4" t="s">
        <v>10</v>
      </c>
      <c r="D101" s="4"/>
      <c r="E101" s="5" t="s">
        <v>22</v>
      </c>
      <c r="F101" s="5" t="s">
        <v>12</v>
      </c>
      <c r="G101" s="5" t="s">
        <v>13</v>
      </c>
      <c r="H101" s="4" t="str">
        <f>E104</f>
        <v>T5</v>
      </c>
      <c r="I101" s="4"/>
    </row>
    <row r="102" spans="1:9" x14ac:dyDescent="0.3">
      <c r="A102" s="3"/>
      <c r="B102" s="4" t="s">
        <v>14</v>
      </c>
      <c r="C102" s="4" t="s">
        <v>20</v>
      </c>
      <c r="D102" s="4"/>
      <c r="E102" s="7" t="s">
        <v>50</v>
      </c>
      <c r="F102" s="7" t="s">
        <v>12</v>
      </c>
      <c r="G102" s="7" t="s">
        <v>49</v>
      </c>
      <c r="H102" s="4" t="str">
        <f>G100</f>
        <v>G1</v>
      </c>
      <c r="I102" s="4"/>
    </row>
    <row r="103" spans="1:9" x14ac:dyDescent="0.3">
      <c r="A103" s="6"/>
      <c r="B103" s="4" t="s">
        <v>14</v>
      </c>
      <c r="C103" s="4" t="s">
        <v>23</v>
      </c>
      <c r="D103" s="4"/>
      <c r="E103" s="7" t="s">
        <v>52</v>
      </c>
      <c r="F103" s="7" t="s">
        <v>12</v>
      </c>
      <c r="G103" s="7" t="s">
        <v>46</v>
      </c>
      <c r="H103" s="4" t="str">
        <f>G99</f>
        <v>T4</v>
      </c>
      <c r="I103" s="4" t="str">
        <f t="shared" ref="I103" si="17">G103</f>
        <v>G6</v>
      </c>
    </row>
    <row r="104" spans="1:9" x14ac:dyDescent="0.3">
      <c r="A104" s="6"/>
      <c r="B104" s="11" t="s">
        <v>17</v>
      </c>
      <c r="C104" s="4" t="s">
        <v>10</v>
      </c>
      <c r="D104" s="4"/>
      <c r="E104" s="5" t="s">
        <v>16</v>
      </c>
      <c r="F104" s="5" t="s">
        <v>12</v>
      </c>
      <c r="G104" s="5" t="s">
        <v>11</v>
      </c>
      <c r="H104" s="4" t="str">
        <f>E103</f>
        <v>G8</v>
      </c>
      <c r="I104" s="4" t="str">
        <f>E104</f>
        <v>T5</v>
      </c>
    </row>
    <row r="105" spans="1:9" x14ac:dyDescent="0.3">
      <c r="A105" s="6"/>
      <c r="B105" s="11" t="s">
        <v>17</v>
      </c>
      <c r="C105" s="4" t="s">
        <v>20</v>
      </c>
      <c r="D105" s="4"/>
      <c r="E105" s="7" t="s">
        <v>47</v>
      </c>
      <c r="F105" s="7" t="s">
        <v>12</v>
      </c>
      <c r="G105" s="7" t="s">
        <v>45</v>
      </c>
      <c r="H105" s="4" t="str">
        <f>G102</f>
        <v>G4</v>
      </c>
      <c r="I105" s="4" t="str">
        <f t="shared" ref="I105" si="18">G105</f>
        <v>G2</v>
      </c>
    </row>
    <row r="106" spans="1:9" x14ac:dyDescent="0.3">
      <c r="A106" s="10"/>
    </row>
    <row r="107" spans="1:9" x14ac:dyDescent="0.3">
      <c r="A107" s="3" t="s">
        <v>38</v>
      </c>
      <c r="B107" s="4" t="s">
        <v>9</v>
      </c>
      <c r="C107" s="4" t="s">
        <v>10</v>
      </c>
      <c r="D107" s="4" t="str">
        <f t="shared" ref="D107:D108" si="19">E107</f>
        <v>G4</v>
      </c>
      <c r="E107" s="7" t="s">
        <v>49</v>
      </c>
      <c r="F107" s="7" t="s">
        <v>12</v>
      </c>
      <c r="G107" s="7" t="s">
        <v>46</v>
      </c>
      <c r="H107" s="4" t="str">
        <f>E112</f>
        <v>G3</v>
      </c>
      <c r="I107" s="4"/>
    </row>
    <row r="108" spans="1:9" x14ac:dyDescent="0.3">
      <c r="A108" s="6">
        <f>A99+7</f>
        <v>45791</v>
      </c>
      <c r="B108" s="4" t="s">
        <v>9</v>
      </c>
      <c r="C108" s="4" t="s">
        <v>20</v>
      </c>
      <c r="D108" s="4" t="str">
        <f t="shared" si="19"/>
        <v>G2</v>
      </c>
      <c r="E108" s="7" t="s">
        <v>45</v>
      </c>
      <c r="F108" s="7" t="s">
        <v>12</v>
      </c>
      <c r="G108" s="7" t="s">
        <v>51</v>
      </c>
      <c r="H108" s="4" t="str">
        <f>G112</f>
        <v>G8</v>
      </c>
      <c r="I108" s="4"/>
    </row>
    <row r="109" spans="1:9" x14ac:dyDescent="0.3">
      <c r="A109" s="3"/>
      <c r="B109" s="4" t="s">
        <v>9</v>
      </c>
      <c r="C109" s="4" t="s">
        <v>23</v>
      </c>
      <c r="D109" s="4" t="str">
        <f>G109</f>
        <v>G5</v>
      </c>
      <c r="E109" s="7" t="s">
        <v>50</v>
      </c>
      <c r="F109" s="7" t="s">
        <v>12</v>
      </c>
      <c r="G109" s="7" t="s">
        <v>47</v>
      </c>
      <c r="H109" s="4" t="str">
        <f>E110</f>
        <v>T2</v>
      </c>
      <c r="I109" s="4"/>
    </row>
    <row r="110" spans="1:9" x14ac:dyDescent="0.3">
      <c r="A110" s="6"/>
      <c r="B110" s="4" t="s">
        <v>14</v>
      </c>
      <c r="C110" s="4" t="s">
        <v>10</v>
      </c>
      <c r="D110" s="4"/>
      <c r="E110" s="5" t="s">
        <v>11</v>
      </c>
      <c r="F110" s="5" t="s">
        <v>12</v>
      </c>
      <c r="G110" s="5" t="s">
        <v>15</v>
      </c>
      <c r="H110" s="4" t="str">
        <f>E113</f>
        <v>T3</v>
      </c>
      <c r="I110" s="4"/>
    </row>
    <row r="111" spans="1:9" x14ac:dyDescent="0.3">
      <c r="A111" s="3"/>
      <c r="B111" s="4" t="s">
        <v>14</v>
      </c>
      <c r="C111" s="4" t="s">
        <v>20</v>
      </c>
      <c r="D111" s="4"/>
      <c r="E111" s="5" t="s">
        <v>16</v>
      </c>
      <c r="F111" s="5" t="s">
        <v>12</v>
      </c>
      <c r="G111" s="5" t="s">
        <v>18</v>
      </c>
      <c r="H111" s="4" t="str">
        <f>E114</f>
        <v>T4</v>
      </c>
      <c r="I111" s="4"/>
    </row>
    <row r="112" spans="1:9" x14ac:dyDescent="0.3">
      <c r="A112" s="6"/>
      <c r="B112" s="4" t="s">
        <v>14</v>
      </c>
      <c r="C112" s="4" t="s">
        <v>23</v>
      </c>
      <c r="D112" s="4"/>
      <c r="E112" s="7" t="s">
        <v>48</v>
      </c>
      <c r="F112" s="7" t="s">
        <v>12</v>
      </c>
      <c r="G112" s="7" t="s">
        <v>52</v>
      </c>
      <c r="H112" s="4" t="str">
        <f>G109</f>
        <v>G5</v>
      </c>
      <c r="I112" s="4" t="str">
        <f t="shared" ref="I112:I114" si="20">G112</f>
        <v>G8</v>
      </c>
    </row>
    <row r="113" spans="1:9" x14ac:dyDescent="0.3">
      <c r="A113" s="6"/>
      <c r="B113" s="4" t="s">
        <v>17</v>
      </c>
      <c r="C113" s="4" t="s">
        <v>10</v>
      </c>
      <c r="D113" s="4"/>
      <c r="E113" s="5" t="s">
        <v>19</v>
      </c>
      <c r="F113" s="5" t="s">
        <v>12</v>
      </c>
      <c r="G113" s="5" t="s">
        <v>22</v>
      </c>
      <c r="H113" s="4" t="str">
        <f>G110</f>
        <v>T1</v>
      </c>
      <c r="I113" s="4" t="str">
        <f t="shared" si="20"/>
        <v>T8</v>
      </c>
    </row>
    <row r="114" spans="1:9" x14ac:dyDescent="0.3">
      <c r="A114" s="6"/>
      <c r="B114" s="4" t="s">
        <v>17</v>
      </c>
      <c r="C114" s="4" t="s">
        <v>20</v>
      </c>
      <c r="D114" s="4"/>
      <c r="E114" s="5" t="s">
        <v>21</v>
      </c>
      <c r="F114" s="5" t="s">
        <v>12</v>
      </c>
      <c r="G114" s="5" t="s">
        <v>13</v>
      </c>
      <c r="H114" s="4" t="str">
        <f>G111</f>
        <v>T7</v>
      </c>
      <c r="I114" s="4" t="str">
        <f t="shared" si="20"/>
        <v>T6</v>
      </c>
    </row>
    <row r="115" spans="1:9" x14ac:dyDescent="0.3">
      <c r="A115" s="10"/>
    </row>
    <row r="116" spans="1:9" x14ac:dyDescent="0.3">
      <c r="A116" s="10"/>
    </row>
    <row r="117" spans="1:9" x14ac:dyDescent="0.3">
      <c r="A117" s="10"/>
    </row>
    <row r="118" spans="1:9" x14ac:dyDescent="0.3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/>
      <c r="G118" s="1" t="s">
        <v>5</v>
      </c>
      <c r="H118" s="1" t="s">
        <v>6</v>
      </c>
      <c r="I118" s="1" t="s">
        <v>7</v>
      </c>
    </row>
    <row r="119" spans="1:9" x14ac:dyDescent="0.3">
      <c r="A119" s="3" t="s">
        <v>39</v>
      </c>
      <c r="B119" s="4" t="s">
        <v>9</v>
      </c>
      <c r="C119" s="4" t="s">
        <v>10</v>
      </c>
      <c r="D119" s="4" t="str">
        <f t="shared" ref="D119:D130" si="21">E119</f>
        <v>T7</v>
      </c>
      <c r="E119" s="5" t="s">
        <v>18</v>
      </c>
      <c r="F119" s="5" t="s">
        <v>12</v>
      </c>
      <c r="G119" s="5" t="s">
        <v>11</v>
      </c>
      <c r="H119" s="4" t="str">
        <f>E122</f>
        <v>T6</v>
      </c>
      <c r="I119" s="4"/>
    </row>
    <row r="120" spans="1:9" x14ac:dyDescent="0.3">
      <c r="A120" s="6">
        <f>A108+7</f>
        <v>45798</v>
      </c>
      <c r="B120" s="4" t="s">
        <v>9</v>
      </c>
      <c r="C120" s="4" t="s">
        <v>20</v>
      </c>
      <c r="D120" s="4" t="str">
        <f t="shared" si="21"/>
        <v>T8</v>
      </c>
      <c r="E120" s="5" t="s">
        <v>22</v>
      </c>
      <c r="F120" s="5" t="s">
        <v>12</v>
      </c>
      <c r="G120" s="5" t="s">
        <v>15</v>
      </c>
      <c r="H120" s="4" t="str">
        <f>E123</f>
        <v>T4</v>
      </c>
      <c r="I120" s="4"/>
    </row>
    <row r="121" spans="1:9" x14ac:dyDescent="0.3">
      <c r="A121" s="3"/>
      <c r="B121" s="4" t="s">
        <v>9</v>
      </c>
      <c r="C121" s="4" t="s">
        <v>23</v>
      </c>
      <c r="D121" s="4" t="str">
        <f t="shared" si="21"/>
        <v>G7</v>
      </c>
      <c r="E121" s="7" t="s">
        <v>50</v>
      </c>
      <c r="F121" s="7" t="s">
        <v>12</v>
      </c>
      <c r="G121" s="7" t="s">
        <v>45</v>
      </c>
      <c r="H121" s="4" t="str">
        <f>E124</f>
        <v>G1</v>
      </c>
      <c r="I121" s="4"/>
    </row>
    <row r="122" spans="1:9" x14ac:dyDescent="0.3">
      <c r="A122" s="6"/>
      <c r="B122" s="4" t="s">
        <v>14</v>
      </c>
      <c r="C122" s="4" t="s">
        <v>10</v>
      </c>
      <c r="D122" s="4"/>
      <c r="E122" s="5" t="s">
        <v>13</v>
      </c>
      <c r="F122" s="5" t="s">
        <v>12</v>
      </c>
      <c r="G122" s="5" t="s">
        <v>16</v>
      </c>
      <c r="H122" s="4" t="str">
        <f>G119</f>
        <v>T2</v>
      </c>
      <c r="I122" s="4"/>
    </row>
    <row r="123" spans="1:9" x14ac:dyDescent="0.3">
      <c r="A123" s="3"/>
      <c r="B123" s="4" t="s">
        <v>14</v>
      </c>
      <c r="C123" s="4" t="s">
        <v>20</v>
      </c>
      <c r="D123" s="4"/>
      <c r="E123" s="5" t="s">
        <v>21</v>
      </c>
      <c r="F123" s="5" t="s">
        <v>12</v>
      </c>
      <c r="G123" s="5" t="s">
        <v>19</v>
      </c>
      <c r="H123" s="4" t="str">
        <f>G120</f>
        <v>T1</v>
      </c>
      <c r="I123" s="4"/>
    </row>
    <row r="124" spans="1:9" x14ac:dyDescent="0.3">
      <c r="A124" s="6"/>
      <c r="B124" s="4" t="s">
        <v>14</v>
      </c>
      <c r="C124" s="4" t="s">
        <v>23</v>
      </c>
      <c r="D124" s="4"/>
      <c r="E124" s="7" t="s">
        <v>51</v>
      </c>
      <c r="F124" s="7" t="s">
        <v>12</v>
      </c>
      <c r="G124" s="7" t="s">
        <v>52</v>
      </c>
      <c r="H124" s="4" t="str">
        <f>G121</f>
        <v>G2</v>
      </c>
      <c r="I124" s="4" t="str">
        <f t="shared" ref="I124:I126" si="22">G124</f>
        <v>G8</v>
      </c>
    </row>
    <row r="125" spans="1:9" x14ac:dyDescent="0.3">
      <c r="A125" s="6"/>
      <c r="B125" s="4" t="s">
        <v>17</v>
      </c>
      <c r="C125" s="4" t="s">
        <v>10</v>
      </c>
      <c r="D125" s="4"/>
      <c r="E125" s="7" t="s">
        <v>46</v>
      </c>
      <c r="F125" s="7" t="s">
        <v>12</v>
      </c>
      <c r="G125" s="7" t="s">
        <v>47</v>
      </c>
      <c r="H125" s="4" t="str">
        <f>G122</f>
        <v>T5</v>
      </c>
      <c r="I125" s="4" t="str">
        <f t="shared" si="22"/>
        <v>G5</v>
      </c>
    </row>
    <row r="126" spans="1:9" x14ac:dyDescent="0.3">
      <c r="A126" s="6"/>
      <c r="B126" s="4" t="s">
        <v>17</v>
      </c>
      <c r="C126" s="4" t="s">
        <v>20</v>
      </c>
      <c r="D126" s="4"/>
      <c r="E126" s="7" t="s">
        <v>49</v>
      </c>
      <c r="F126" s="7" t="s">
        <v>12</v>
      </c>
      <c r="G126" s="7" t="s">
        <v>48</v>
      </c>
      <c r="H126" s="4" t="str">
        <f>G123</f>
        <v>T3</v>
      </c>
      <c r="I126" s="4" t="str">
        <f t="shared" si="22"/>
        <v>G3</v>
      </c>
    </row>
    <row r="127" spans="1:9" x14ac:dyDescent="0.3">
      <c r="A127" s="10"/>
    </row>
    <row r="128" spans="1:9" x14ac:dyDescent="0.3">
      <c r="A128" s="3" t="s">
        <v>40</v>
      </c>
      <c r="B128" s="4" t="s">
        <v>9</v>
      </c>
      <c r="C128" s="4" t="s">
        <v>10</v>
      </c>
      <c r="D128" s="4" t="str">
        <f t="shared" ref="D128" si="23">E128</f>
        <v>T5</v>
      </c>
      <c r="E128" s="5" t="s">
        <v>16</v>
      </c>
      <c r="F128" s="5" t="s">
        <v>12</v>
      </c>
      <c r="G128" s="5" t="s">
        <v>19</v>
      </c>
      <c r="H128" s="4" t="str">
        <f>E131</f>
        <v>T7</v>
      </c>
      <c r="I128" s="4"/>
    </row>
    <row r="129" spans="1:9" x14ac:dyDescent="0.3">
      <c r="A129" s="6">
        <f>A120+7</f>
        <v>45805</v>
      </c>
      <c r="B129" s="4" t="s">
        <v>9</v>
      </c>
      <c r="C129" s="4" t="s">
        <v>20</v>
      </c>
      <c r="D129" s="4" t="str">
        <f t="shared" si="21"/>
        <v>G5</v>
      </c>
      <c r="E129" s="7" t="s">
        <v>47</v>
      </c>
      <c r="F129" s="7" t="s">
        <v>12</v>
      </c>
      <c r="G129" s="7" t="s">
        <v>48</v>
      </c>
      <c r="H129" s="4" t="str">
        <f>E133</f>
        <v>G1</v>
      </c>
      <c r="I129" s="4"/>
    </row>
    <row r="130" spans="1:9" x14ac:dyDescent="0.3">
      <c r="A130" s="3"/>
      <c r="B130" s="4" t="s">
        <v>9</v>
      </c>
      <c r="C130" s="4" t="s">
        <v>23</v>
      </c>
      <c r="D130" s="4" t="str">
        <f t="shared" si="21"/>
        <v>G7</v>
      </c>
      <c r="E130" s="7" t="s">
        <v>50</v>
      </c>
      <c r="F130" s="7" t="s">
        <v>12</v>
      </c>
      <c r="G130" s="7" t="s">
        <v>49</v>
      </c>
      <c r="H130" s="4" t="str">
        <f>G133</f>
        <v>G6</v>
      </c>
      <c r="I130" s="4"/>
    </row>
    <row r="131" spans="1:9" x14ac:dyDescent="0.3">
      <c r="A131" s="6"/>
      <c r="B131" s="4" t="s">
        <v>14</v>
      </c>
      <c r="C131" s="4" t="s">
        <v>10</v>
      </c>
      <c r="D131" s="4"/>
      <c r="E131" s="5" t="s">
        <v>18</v>
      </c>
      <c r="F131" s="5" t="s">
        <v>12</v>
      </c>
      <c r="G131" s="5" t="s">
        <v>21</v>
      </c>
      <c r="H131" s="4" t="str">
        <f>G128</f>
        <v>T3</v>
      </c>
      <c r="I131" s="4"/>
    </row>
    <row r="132" spans="1:9" x14ac:dyDescent="0.3">
      <c r="A132" s="3"/>
      <c r="B132" s="4" t="s">
        <v>14</v>
      </c>
      <c r="C132" s="4" t="s">
        <v>20</v>
      </c>
      <c r="D132" s="4"/>
      <c r="E132" s="5" t="s">
        <v>15</v>
      </c>
      <c r="F132" s="5" t="s">
        <v>12</v>
      </c>
      <c r="G132" s="5" t="s">
        <v>13</v>
      </c>
      <c r="H132" s="4" t="str">
        <f>G134</f>
        <v>T8</v>
      </c>
      <c r="I132" s="4"/>
    </row>
    <row r="133" spans="1:9" x14ac:dyDescent="0.3">
      <c r="A133" s="6"/>
      <c r="B133" s="4" t="s">
        <v>14</v>
      </c>
      <c r="C133" s="4" t="s">
        <v>23</v>
      </c>
      <c r="D133" s="4"/>
      <c r="E133" s="7" t="s">
        <v>51</v>
      </c>
      <c r="F133" s="7" t="s">
        <v>12</v>
      </c>
      <c r="G133" s="7" t="s">
        <v>46</v>
      </c>
      <c r="H133" s="4" t="str">
        <f>G130</f>
        <v>G4</v>
      </c>
      <c r="I133" s="4" t="str">
        <f t="shared" ref="I133" si="24">G133</f>
        <v>G6</v>
      </c>
    </row>
    <row r="134" spans="1:9" x14ac:dyDescent="0.3">
      <c r="A134" s="6"/>
      <c r="B134" s="4" t="s">
        <v>17</v>
      </c>
      <c r="C134" s="4" t="s">
        <v>10</v>
      </c>
      <c r="D134" s="4"/>
      <c r="E134" s="5" t="s">
        <v>11</v>
      </c>
      <c r="F134" s="5" t="s">
        <v>12</v>
      </c>
      <c r="G134" s="5" t="s">
        <v>22</v>
      </c>
      <c r="H134" s="4" t="str">
        <f>E132</f>
        <v>T1</v>
      </c>
      <c r="I134" s="4" t="str">
        <f>E134</f>
        <v>T2</v>
      </c>
    </row>
    <row r="135" spans="1:9" x14ac:dyDescent="0.3">
      <c r="A135" s="6"/>
      <c r="B135" s="4" t="s">
        <v>17</v>
      </c>
      <c r="C135" s="4" t="s">
        <v>20</v>
      </c>
      <c r="D135" s="4"/>
      <c r="E135" s="7" t="s">
        <v>45</v>
      </c>
      <c r="F135" s="7" t="s">
        <v>12</v>
      </c>
      <c r="G135" s="7" t="s">
        <v>52</v>
      </c>
      <c r="H135" s="4" t="str">
        <f>G132</f>
        <v>T6</v>
      </c>
      <c r="I135" s="4" t="str">
        <f t="shared" ref="I135" si="25">G135</f>
        <v>G8</v>
      </c>
    </row>
    <row r="138" spans="1:9" x14ac:dyDescent="0.3">
      <c r="A138" s="12" t="s">
        <v>0</v>
      </c>
      <c r="B138" s="12" t="s">
        <v>1</v>
      </c>
      <c r="C138" s="12" t="s">
        <v>2</v>
      </c>
      <c r="D138" s="12" t="s">
        <v>3</v>
      </c>
      <c r="E138" s="12" t="s">
        <v>4</v>
      </c>
      <c r="F138" s="12"/>
      <c r="G138" s="12" t="s">
        <v>5</v>
      </c>
      <c r="H138" s="12" t="s">
        <v>6</v>
      </c>
      <c r="I138" s="12" t="s">
        <v>7</v>
      </c>
    </row>
    <row r="139" spans="1:9" x14ac:dyDescent="0.3">
      <c r="A139" s="9">
        <f>A129+7</f>
        <v>45812</v>
      </c>
      <c r="B139" s="9"/>
      <c r="C139" s="9"/>
      <c r="D139" s="87" t="s">
        <v>41</v>
      </c>
      <c r="E139" s="88"/>
      <c r="F139" s="88"/>
      <c r="G139" s="88"/>
      <c r="H139" s="88"/>
      <c r="I139" s="89"/>
    </row>
    <row r="141" spans="1:9" x14ac:dyDescent="0.3">
      <c r="A141" s="9">
        <f>A139+7</f>
        <v>45819</v>
      </c>
      <c r="B141" s="9"/>
      <c r="C141" s="9"/>
      <c r="D141" s="87" t="s">
        <v>42</v>
      </c>
      <c r="E141" s="88"/>
      <c r="F141" s="88"/>
      <c r="G141" s="88"/>
      <c r="H141" s="88"/>
      <c r="I141" s="89"/>
    </row>
    <row r="143" spans="1:9" x14ac:dyDescent="0.3">
      <c r="A143" s="9">
        <f>A141+7</f>
        <v>45826</v>
      </c>
      <c r="B143" s="9"/>
      <c r="C143" s="9"/>
      <c r="D143" s="87" t="s">
        <v>43</v>
      </c>
      <c r="E143" s="88"/>
      <c r="F143" s="88"/>
      <c r="G143" s="88"/>
      <c r="H143" s="88"/>
      <c r="I143" s="89"/>
    </row>
    <row r="158" spans="3:11" x14ac:dyDescent="0.3">
      <c r="D158" s="2" t="s">
        <v>30</v>
      </c>
      <c r="H158" s="2" t="s">
        <v>31</v>
      </c>
      <c r="I158" s="2" t="s">
        <v>32</v>
      </c>
      <c r="J158" s="2" t="s">
        <v>33</v>
      </c>
      <c r="K158" s="2" t="s">
        <v>44</v>
      </c>
    </row>
    <row r="159" spans="3:11" x14ac:dyDescent="0.3">
      <c r="C159" s="2" t="s">
        <v>15</v>
      </c>
      <c r="D159" s="2">
        <f t="shared" ref="D159:E166" si="26">COUNTIF(D$2:D$138,$C159)</f>
        <v>2</v>
      </c>
      <c r="E159" s="2">
        <f t="shared" si="26"/>
        <v>10</v>
      </c>
      <c r="G159" s="2">
        <f t="shared" ref="G159:I166" si="27">COUNTIF(G$2:G$138,$C159)</f>
        <v>4</v>
      </c>
      <c r="H159" s="2">
        <f t="shared" si="27"/>
        <v>10</v>
      </c>
      <c r="I159" s="2">
        <f t="shared" si="27"/>
        <v>0</v>
      </c>
      <c r="J159" s="2">
        <f>D159+H159+I159</f>
        <v>12</v>
      </c>
      <c r="K159" s="2">
        <f>E159+G159</f>
        <v>14</v>
      </c>
    </row>
    <row r="160" spans="3:11" x14ac:dyDescent="0.3">
      <c r="C160" s="2" t="s">
        <v>11</v>
      </c>
      <c r="D160" s="2">
        <f t="shared" si="26"/>
        <v>2</v>
      </c>
      <c r="E160" s="2">
        <f t="shared" si="26"/>
        <v>6</v>
      </c>
      <c r="G160" s="2">
        <f t="shared" si="27"/>
        <v>8</v>
      </c>
      <c r="H160" s="2">
        <f t="shared" si="27"/>
        <v>8</v>
      </c>
      <c r="I160" s="2">
        <f t="shared" si="27"/>
        <v>4</v>
      </c>
      <c r="J160" s="2">
        <f t="shared" ref="J160:J166" si="28">D160+H160+I160</f>
        <v>14</v>
      </c>
      <c r="K160" s="2">
        <f t="shared" ref="K160:K166" si="29">E160+G160</f>
        <v>14</v>
      </c>
    </row>
    <row r="161" spans="3:11" x14ac:dyDescent="0.3">
      <c r="C161" s="2" t="s">
        <v>19</v>
      </c>
      <c r="D161" s="2">
        <f t="shared" si="26"/>
        <v>1</v>
      </c>
      <c r="E161" s="2">
        <f t="shared" si="26"/>
        <v>5</v>
      </c>
      <c r="G161" s="2">
        <f t="shared" si="27"/>
        <v>9</v>
      </c>
      <c r="H161" s="2">
        <f t="shared" si="27"/>
        <v>9</v>
      </c>
      <c r="I161" s="2">
        <f t="shared" si="27"/>
        <v>2</v>
      </c>
      <c r="J161" s="2">
        <f t="shared" si="28"/>
        <v>12</v>
      </c>
      <c r="K161" s="2">
        <f t="shared" si="29"/>
        <v>14</v>
      </c>
    </row>
    <row r="162" spans="3:11" x14ac:dyDescent="0.3">
      <c r="C162" s="2" t="s">
        <v>21</v>
      </c>
      <c r="D162" s="2">
        <f t="shared" si="26"/>
        <v>2</v>
      </c>
      <c r="E162" s="2">
        <f t="shared" si="26"/>
        <v>10</v>
      </c>
      <c r="G162" s="2">
        <f t="shared" si="27"/>
        <v>4</v>
      </c>
      <c r="H162" s="2">
        <f t="shared" si="27"/>
        <v>10</v>
      </c>
      <c r="I162" s="2">
        <f t="shared" si="27"/>
        <v>2</v>
      </c>
      <c r="J162" s="2">
        <f t="shared" si="28"/>
        <v>14</v>
      </c>
      <c r="K162" s="2">
        <f t="shared" si="29"/>
        <v>14</v>
      </c>
    </row>
    <row r="163" spans="3:11" x14ac:dyDescent="0.3">
      <c r="C163" s="2" t="s">
        <v>16</v>
      </c>
      <c r="D163" s="2">
        <f t="shared" si="26"/>
        <v>2</v>
      </c>
      <c r="E163" s="2">
        <f t="shared" si="26"/>
        <v>8</v>
      </c>
      <c r="G163" s="2">
        <f t="shared" si="27"/>
        <v>6</v>
      </c>
      <c r="H163" s="2">
        <f t="shared" si="27"/>
        <v>8</v>
      </c>
      <c r="I163" s="2">
        <f t="shared" si="27"/>
        <v>2</v>
      </c>
      <c r="J163" s="2">
        <f t="shared" si="28"/>
        <v>12</v>
      </c>
      <c r="K163" s="2">
        <f t="shared" si="29"/>
        <v>14</v>
      </c>
    </row>
    <row r="164" spans="3:11" x14ac:dyDescent="0.3">
      <c r="C164" s="2" t="s">
        <v>13</v>
      </c>
      <c r="D164" s="2">
        <f t="shared" si="26"/>
        <v>1</v>
      </c>
      <c r="E164" s="2">
        <f t="shared" si="26"/>
        <v>3</v>
      </c>
      <c r="G164" s="2">
        <f t="shared" si="27"/>
        <v>11</v>
      </c>
      <c r="H164" s="2">
        <f t="shared" si="27"/>
        <v>9</v>
      </c>
      <c r="I164" s="2">
        <f t="shared" si="27"/>
        <v>4</v>
      </c>
      <c r="J164" s="2">
        <f t="shared" si="28"/>
        <v>14</v>
      </c>
      <c r="K164" s="2">
        <f t="shared" si="29"/>
        <v>14</v>
      </c>
    </row>
    <row r="165" spans="3:11" x14ac:dyDescent="0.3">
      <c r="C165" s="2" t="s">
        <v>18</v>
      </c>
      <c r="D165" s="2">
        <f t="shared" si="26"/>
        <v>4</v>
      </c>
      <c r="E165" s="2">
        <f t="shared" si="26"/>
        <v>8</v>
      </c>
      <c r="G165" s="2">
        <f t="shared" si="27"/>
        <v>6</v>
      </c>
      <c r="H165" s="2">
        <f t="shared" si="27"/>
        <v>9</v>
      </c>
      <c r="I165" s="2">
        <f t="shared" si="27"/>
        <v>0</v>
      </c>
      <c r="J165" s="2">
        <f t="shared" si="28"/>
        <v>13</v>
      </c>
      <c r="K165" s="2">
        <f t="shared" si="29"/>
        <v>14</v>
      </c>
    </row>
    <row r="166" spans="3:11" x14ac:dyDescent="0.3">
      <c r="C166" s="2" t="s">
        <v>22</v>
      </c>
      <c r="D166" s="2">
        <f t="shared" si="26"/>
        <v>2</v>
      </c>
      <c r="E166" s="2">
        <f t="shared" si="26"/>
        <v>6</v>
      </c>
      <c r="G166" s="2">
        <f t="shared" si="27"/>
        <v>8</v>
      </c>
      <c r="H166" s="2">
        <f t="shared" si="27"/>
        <v>9</v>
      </c>
      <c r="I166" s="2">
        <f t="shared" si="27"/>
        <v>2</v>
      </c>
      <c r="J166" s="2">
        <f t="shared" si="28"/>
        <v>13</v>
      </c>
      <c r="K166" s="2">
        <f t="shared" si="29"/>
        <v>14</v>
      </c>
    </row>
    <row r="168" spans="3:11" x14ac:dyDescent="0.3">
      <c r="D168" s="2" t="s">
        <v>30</v>
      </c>
      <c r="H168" s="2" t="s">
        <v>31</v>
      </c>
      <c r="I168" s="2" t="s">
        <v>32</v>
      </c>
      <c r="J168" s="2" t="s">
        <v>33</v>
      </c>
      <c r="K168" s="2" t="s">
        <v>44</v>
      </c>
    </row>
    <row r="169" spans="3:11" x14ac:dyDescent="0.3">
      <c r="C169" s="2" t="s">
        <v>51</v>
      </c>
      <c r="D169" s="2">
        <f t="shared" ref="D169:E176" si="30">COUNTIF(D$2:D$138,$C169)</f>
        <v>2</v>
      </c>
      <c r="E169" s="2">
        <f t="shared" si="30"/>
        <v>8</v>
      </c>
      <c r="G169" s="2">
        <f t="shared" ref="G169:I176" si="31">COUNTIF(G$2:G$138,$C169)</f>
        <v>6</v>
      </c>
      <c r="H169" s="2">
        <f t="shared" si="31"/>
        <v>6</v>
      </c>
      <c r="I169" s="2">
        <f t="shared" si="31"/>
        <v>2</v>
      </c>
      <c r="J169" s="2">
        <f>D169+H169+I169</f>
        <v>10</v>
      </c>
      <c r="K169" s="2">
        <f>E169+G169</f>
        <v>14</v>
      </c>
    </row>
    <row r="170" spans="3:11" x14ac:dyDescent="0.3">
      <c r="C170" s="2" t="s">
        <v>45</v>
      </c>
      <c r="D170" s="2">
        <f t="shared" si="30"/>
        <v>6</v>
      </c>
      <c r="E170" s="2">
        <f t="shared" si="30"/>
        <v>8</v>
      </c>
      <c r="G170" s="2">
        <f t="shared" si="31"/>
        <v>6</v>
      </c>
      <c r="H170" s="2">
        <f t="shared" si="31"/>
        <v>4</v>
      </c>
      <c r="I170" s="2">
        <f t="shared" si="31"/>
        <v>2</v>
      </c>
      <c r="J170" s="2">
        <f t="shared" ref="J170:J176" si="32">D170+H170+I170</f>
        <v>12</v>
      </c>
      <c r="K170" s="2">
        <f t="shared" ref="K170:K176" si="33">E170+G170</f>
        <v>14</v>
      </c>
    </row>
    <row r="171" spans="3:11" x14ac:dyDescent="0.3">
      <c r="C171" s="2" t="s">
        <v>48</v>
      </c>
      <c r="D171" s="2">
        <f t="shared" si="30"/>
        <v>2</v>
      </c>
      <c r="E171" s="2">
        <f t="shared" si="30"/>
        <v>6</v>
      </c>
      <c r="G171" s="2">
        <f t="shared" si="31"/>
        <v>8</v>
      </c>
      <c r="H171" s="2">
        <f t="shared" si="31"/>
        <v>6</v>
      </c>
      <c r="I171" s="2">
        <f t="shared" si="31"/>
        <v>4</v>
      </c>
      <c r="J171" s="2">
        <f t="shared" si="32"/>
        <v>12</v>
      </c>
      <c r="K171" s="2">
        <f t="shared" si="33"/>
        <v>14</v>
      </c>
    </row>
    <row r="172" spans="3:11" x14ac:dyDescent="0.3">
      <c r="C172" s="2" t="s">
        <v>49</v>
      </c>
      <c r="D172" s="2">
        <f t="shared" si="30"/>
        <v>6</v>
      </c>
      <c r="E172" s="2">
        <f t="shared" si="30"/>
        <v>10</v>
      </c>
      <c r="G172" s="2">
        <f t="shared" si="31"/>
        <v>4</v>
      </c>
      <c r="H172" s="2">
        <f t="shared" si="31"/>
        <v>4</v>
      </c>
      <c r="I172" s="2">
        <f t="shared" si="31"/>
        <v>2</v>
      </c>
      <c r="J172" s="2">
        <f t="shared" si="32"/>
        <v>12</v>
      </c>
      <c r="K172" s="2">
        <f t="shared" si="33"/>
        <v>14</v>
      </c>
    </row>
    <row r="173" spans="3:11" x14ac:dyDescent="0.3">
      <c r="C173" s="2" t="s">
        <v>47</v>
      </c>
      <c r="D173" s="2">
        <f t="shared" si="30"/>
        <v>4</v>
      </c>
      <c r="E173" s="2">
        <f t="shared" si="30"/>
        <v>6</v>
      </c>
      <c r="G173" s="2">
        <f t="shared" si="31"/>
        <v>8</v>
      </c>
      <c r="H173" s="2">
        <f t="shared" si="31"/>
        <v>4</v>
      </c>
      <c r="I173" s="2">
        <f t="shared" si="31"/>
        <v>4</v>
      </c>
      <c r="J173" s="2">
        <f t="shared" si="32"/>
        <v>12</v>
      </c>
      <c r="K173" s="2">
        <f t="shared" si="33"/>
        <v>14</v>
      </c>
    </row>
    <row r="174" spans="3:11" x14ac:dyDescent="0.3">
      <c r="C174" s="2" t="s">
        <v>46</v>
      </c>
      <c r="D174" s="2">
        <f t="shared" si="30"/>
        <v>2</v>
      </c>
      <c r="E174" s="2">
        <f t="shared" si="30"/>
        <v>4</v>
      </c>
      <c r="G174" s="2">
        <f t="shared" si="31"/>
        <v>10</v>
      </c>
      <c r="H174" s="2">
        <f t="shared" si="31"/>
        <v>4</v>
      </c>
      <c r="I174" s="2">
        <f t="shared" si="31"/>
        <v>4</v>
      </c>
      <c r="J174" s="2">
        <f t="shared" si="32"/>
        <v>10</v>
      </c>
      <c r="K174" s="2">
        <f t="shared" si="33"/>
        <v>14</v>
      </c>
    </row>
    <row r="175" spans="3:11" x14ac:dyDescent="0.3">
      <c r="C175" s="2" t="s">
        <v>50</v>
      </c>
      <c r="D175" s="2">
        <f t="shared" si="30"/>
        <v>4</v>
      </c>
      <c r="E175" s="2">
        <f t="shared" si="30"/>
        <v>10</v>
      </c>
      <c r="G175" s="2">
        <f t="shared" si="31"/>
        <v>4</v>
      </c>
      <c r="H175" s="2">
        <f t="shared" si="31"/>
        <v>6</v>
      </c>
      <c r="I175" s="2">
        <f t="shared" si="31"/>
        <v>2</v>
      </c>
      <c r="J175" s="2">
        <f t="shared" si="32"/>
        <v>12</v>
      </c>
      <c r="K175" s="2">
        <f t="shared" si="33"/>
        <v>14</v>
      </c>
    </row>
    <row r="176" spans="3:11" x14ac:dyDescent="0.3">
      <c r="C176" s="2" t="s">
        <v>52</v>
      </c>
      <c r="D176" s="2">
        <f t="shared" si="30"/>
        <v>0</v>
      </c>
      <c r="E176" s="2">
        <f t="shared" si="30"/>
        <v>4</v>
      </c>
      <c r="G176" s="2">
        <f t="shared" si="31"/>
        <v>10</v>
      </c>
      <c r="H176" s="2">
        <f t="shared" si="31"/>
        <v>6</v>
      </c>
      <c r="I176" s="2">
        <f t="shared" si="31"/>
        <v>6</v>
      </c>
      <c r="J176" s="2">
        <f t="shared" si="32"/>
        <v>12</v>
      </c>
      <c r="K176" s="2">
        <f t="shared" si="33"/>
        <v>14</v>
      </c>
    </row>
  </sheetData>
  <sortState xmlns:xlrd2="http://schemas.microsoft.com/office/spreadsheetml/2017/richdata2" ref="B59:I66">
    <sortCondition ref="B59:B66"/>
  </sortState>
  <mergeCells count="4">
    <mergeCell ref="B77:I78"/>
    <mergeCell ref="D139:I139"/>
    <mergeCell ref="D141:I141"/>
    <mergeCell ref="D143:I143"/>
  </mergeCells>
  <phoneticPr fontId="2" type="noConversion"/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E5BD-FBDF-4BE5-B6A8-95768E9C7D9D}">
  <dimension ref="A1:J134"/>
  <sheetViews>
    <sheetView workbookViewId="0">
      <selection activeCell="D2" sqref="D2"/>
    </sheetView>
  </sheetViews>
  <sheetFormatPr defaultRowHeight="14.4" x14ac:dyDescent="0.3"/>
  <cols>
    <col min="1" max="1" width="13.6640625" style="20" customWidth="1"/>
    <col min="2" max="2" width="12" style="21" customWidth="1"/>
    <col min="3" max="10" width="8.88671875" style="20"/>
  </cols>
  <sheetData>
    <row r="1" spans="1:10" s="2" customFormat="1" ht="27.6" x14ac:dyDescent="0.3">
      <c r="A1" s="15" t="s">
        <v>60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/>
      <c r="H1" s="15" t="s">
        <v>5</v>
      </c>
      <c r="I1" s="15" t="s">
        <v>6</v>
      </c>
      <c r="J1" s="15" t="s">
        <v>7</v>
      </c>
    </row>
    <row r="2" spans="1:10" x14ac:dyDescent="0.3">
      <c r="A2" s="16" t="s">
        <v>8</v>
      </c>
      <c r="B2" s="17">
        <v>46071</v>
      </c>
      <c r="C2" s="16" t="s">
        <v>9</v>
      </c>
      <c r="D2" s="16">
        <v>1</v>
      </c>
      <c r="E2" s="16"/>
      <c r="F2" s="16"/>
      <c r="G2" s="16" t="s">
        <v>12</v>
      </c>
      <c r="H2" s="16"/>
      <c r="I2" s="16"/>
      <c r="J2" s="16"/>
    </row>
    <row r="3" spans="1:10" x14ac:dyDescent="0.3">
      <c r="A3" s="16" t="str">
        <f>A2</f>
        <v>Round 1</v>
      </c>
      <c r="B3" s="18">
        <f>B2</f>
        <v>46071</v>
      </c>
      <c r="C3" s="16" t="s">
        <v>14</v>
      </c>
      <c r="D3" s="16">
        <v>1</v>
      </c>
      <c r="E3" s="16"/>
      <c r="F3" s="16"/>
      <c r="G3" s="16" t="s">
        <v>12</v>
      </c>
      <c r="H3" s="16"/>
      <c r="I3" s="16"/>
      <c r="J3" s="16"/>
    </row>
    <row r="4" spans="1:10" x14ac:dyDescent="0.3">
      <c r="A4" s="16" t="str">
        <f t="shared" ref="A4:A65" si="0">A3</f>
        <v>Round 1</v>
      </c>
      <c r="B4" s="18">
        <f t="shared" ref="B4:B10" si="1">B3</f>
        <v>46071</v>
      </c>
      <c r="C4" s="16" t="s">
        <v>17</v>
      </c>
      <c r="D4" s="16">
        <v>1</v>
      </c>
      <c r="E4" s="16"/>
      <c r="F4" s="16"/>
      <c r="G4" s="16" t="s">
        <v>12</v>
      </c>
      <c r="H4" s="16"/>
      <c r="I4" s="16"/>
      <c r="J4" s="16"/>
    </row>
    <row r="5" spans="1:10" x14ac:dyDescent="0.3">
      <c r="A5" s="16" t="str">
        <f t="shared" si="0"/>
        <v>Round 1</v>
      </c>
      <c r="B5" s="18">
        <f t="shared" si="1"/>
        <v>46071</v>
      </c>
      <c r="C5" s="16" t="s">
        <v>9</v>
      </c>
      <c r="D5" s="16">
        <v>2</v>
      </c>
      <c r="E5" s="16"/>
      <c r="F5" s="16"/>
      <c r="G5" s="16" t="s">
        <v>12</v>
      </c>
      <c r="H5" s="16"/>
      <c r="I5" s="16"/>
      <c r="J5" s="16"/>
    </row>
    <row r="6" spans="1:10" x14ac:dyDescent="0.3">
      <c r="A6" s="16" t="str">
        <f t="shared" si="0"/>
        <v>Round 1</v>
      </c>
      <c r="B6" s="18">
        <f t="shared" si="1"/>
        <v>46071</v>
      </c>
      <c r="C6" s="16" t="s">
        <v>14</v>
      </c>
      <c r="D6" s="16">
        <v>2</v>
      </c>
      <c r="E6" s="16"/>
      <c r="F6" s="16"/>
      <c r="G6" s="16" t="s">
        <v>12</v>
      </c>
      <c r="H6" s="16"/>
      <c r="I6" s="16"/>
      <c r="J6" s="16"/>
    </row>
    <row r="7" spans="1:10" x14ac:dyDescent="0.3">
      <c r="A7" s="16" t="str">
        <f t="shared" si="0"/>
        <v>Round 1</v>
      </c>
      <c r="B7" s="18">
        <f t="shared" si="1"/>
        <v>46071</v>
      </c>
      <c r="C7" s="16" t="s">
        <v>17</v>
      </c>
      <c r="D7" s="16">
        <v>2</v>
      </c>
      <c r="E7" s="16"/>
      <c r="F7" s="16"/>
      <c r="G7" s="16" t="s">
        <v>12</v>
      </c>
      <c r="H7" s="16"/>
      <c r="I7" s="16"/>
      <c r="J7" s="16"/>
    </row>
    <row r="8" spans="1:10" x14ac:dyDescent="0.3">
      <c r="A8" s="16" t="str">
        <f t="shared" si="0"/>
        <v>Round 1</v>
      </c>
      <c r="B8" s="18">
        <f t="shared" si="1"/>
        <v>46071</v>
      </c>
      <c r="C8" s="16" t="s">
        <v>9</v>
      </c>
      <c r="D8" s="16">
        <v>3</v>
      </c>
      <c r="E8" s="16"/>
      <c r="F8" s="16"/>
      <c r="G8" s="16" t="s">
        <v>12</v>
      </c>
      <c r="H8" s="16"/>
      <c r="I8" s="16"/>
      <c r="J8" s="16"/>
    </row>
    <row r="9" spans="1:10" x14ac:dyDescent="0.3">
      <c r="A9" s="16" t="str">
        <f t="shared" si="0"/>
        <v>Round 1</v>
      </c>
      <c r="B9" s="18">
        <f t="shared" si="1"/>
        <v>46071</v>
      </c>
      <c r="C9" s="16" t="s">
        <v>14</v>
      </c>
      <c r="D9" s="16">
        <v>3</v>
      </c>
      <c r="E9" s="16"/>
      <c r="F9" s="16"/>
      <c r="G9" s="16" t="s">
        <v>12</v>
      </c>
      <c r="H9" s="16"/>
      <c r="I9" s="16"/>
      <c r="J9" s="16"/>
    </row>
    <row r="10" spans="1:10" x14ac:dyDescent="0.3">
      <c r="A10" s="16" t="str">
        <f t="shared" si="0"/>
        <v>Round 1</v>
      </c>
      <c r="B10" s="18">
        <f t="shared" si="1"/>
        <v>46071</v>
      </c>
      <c r="C10" s="16" t="s">
        <v>17</v>
      </c>
      <c r="D10" s="16">
        <v>3</v>
      </c>
      <c r="E10" s="16"/>
      <c r="F10" s="16"/>
      <c r="G10" s="16" t="s">
        <v>12</v>
      </c>
      <c r="H10" s="16"/>
      <c r="I10" s="16"/>
      <c r="J10" s="16"/>
    </row>
    <row r="11" spans="1:10" x14ac:dyDescent="0.3">
      <c r="A11" s="16" t="s">
        <v>24</v>
      </c>
      <c r="B11" s="17">
        <f>B2+7</f>
        <v>46078</v>
      </c>
      <c r="C11" s="16" t="s">
        <v>9</v>
      </c>
      <c r="D11" s="16">
        <v>1</v>
      </c>
      <c r="E11" s="16"/>
      <c r="F11" s="16"/>
      <c r="G11" s="16" t="s">
        <v>12</v>
      </c>
      <c r="H11" s="16"/>
      <c r="I11" s="16"/>
      <c r="J11" s="16"/>
    </row>
    <row r="12" spans="1:10" x14ac:dyDescent="0.3">
      <c r="A12" s="16" t="str">
        <f t="shared" si="0"/>
        <v>Round 2</v>
      </c>
      <c r="B12" s="18">
        <f>B11</f>
        <v>46078</v>
      </c>
      <c r="C12" s="16" t="s">
        <v>14</v>
      </c>
      <c r="D12" s="16">
        <v>1</v>
      </c>
      <c r="E12" s="16"/>
      <c r="F12" s="16"/>
      <c r="G12" s="16" t="s">
        <v>12</v>
      </c>
      <c r="H12" s="16"/>
      <c r="I12" s="16"/>
      <c r="J12" s="16"/>
    </row>
    <row r="13" spans="1:10" x14ac:dyDescent="0.3">
      <c r="A13" s="16" t="str">
        <f t="shared" si="0"/>
        <v>Round 2</v>
      </c>
      <c r="B13" s="18">
        <f t="shared" ref="B13:B19" si="2">B12</f>
        <v>46078</v>
      </c>
      <c r="C13" s="16" t="s">
        <v>17</v>
      </c>
      <c r="D13" s="16">
        <v>1</v>
      </c>
      <c r="E13" s="16"/>
      <c r="F13" s="16"/>
      <c r="G13" s="16" t="s">
        <v>12</v>
      </c>
      <c r="H13" s="16"/>
      <c r="I13" s="16"/>
      <c r="J13" s="16"/>
    </row>
    <row r="14" spans="1:10" x14ac:dyDescent="0.3">
      <c r="A14" s="16" t="str">
        <f t="shared" si="0"/>
        <v>Round 2</v>
      </c>
      <c r="B14" s="18">
        <f t="shared" si="2"/>
        <v>46078</v>
      </c>
      <c r="C14" s="16" t="s">
        <v>9</v>
      </c>
      <c r="D14" s="16">
        <v>2</v>
      </c>
      <c r="E14" s="16"/>
      <c r="F14" s="16"/>
      <c r="G14" s="16" t="s">
        <v>12</v>
      </c>
      <c r="H14" s="16"/>
      <c r="I14" s="16"/>
      <c r="J14" s="16"/>
    </row>
    <row r="15" spans="1:10" x14ac:dyDescent="0.3">
      <c r="A15" s="16" t="str">
        <f t="shared" si="0"/>
        <v>Round 2</v>
      </c>
      <c r="B15" s="18">
        <f t="shared" si="2"/>
        <v>46078</v>
      </c>
      <c r="C15" s="16" t="s">
        <v>14</v>
      </c>
      <c r="D15" s="16">
        <v>2</v>
      </c>
      <c r="E15" s="16"/>
      <c r="F15" s="16"/>
      <c r="G15" s="16" t="s">
        <v>12</v>
      </c>
      <c r="H15" s="16"/>
      <c r="I15" s="16"/>
      <c r="J15" s="16"/>
    </row>
    <row r="16" spans="1:10" x14ac:dyDescent="0.3">
      <c r="A16" s="16" t="str">
        <f t="shared" si="0"/>
        <v>Round 2</v>
      </c>
      <c r="B16" s="18">
        <f t="shared" si="2"/>
        <v>46078</v>
      </c>
      <c r="C16" s="16" t="s">
        <v>17</v>
      </c>
      <c r="D16" s="16">
        <v>2</v>
      </c>
      <c r="E16" s="16"/>
      <c r="F16" s="16"/>
      <c r="G16" s="16" t="s">
        <v>12</v>
      </c>
      <c r="H16" s="16"/>
      <c r="I16" s="16"/>
      <c r="J16" s="16"/>
    </row>
    <row r="17" spans="1:10" x14ac:dyDescent="0.3">
      <c r="A17" s="16" t="str">
        <f t="shared" si="0"/>
        <v>Round 2</v>
      </c>
      <c r="B17" s="18">
        <f t="shared" si="2"/>
        <v>46078</v>
      </c>
      <c r="C17" s="16" t="s">
        <v>9</v>
      </c>
      <c r="D17" s="16">
        <v>3</v>
      </c>
      <c r="E17" s="16"/>
      <c r="F17" s="16"/>
      <c r="G17" s="16" t="s">
        <v>12</v>
      </c>
      <c r="H17" s="16"/>
      <c r="I17" s="16"/>
      <c r="J17" s="16"/>
    </row>
    <row r="18" spans="1:10" x14ac:dyDescent="0.3">
      <c r="A18" s="16" t="str">
        <f t="shared" si="0"/>
        <v>Round 2</v>
      </c>
      <c r="B18" s="18">
        <f t="shared" si="2"/>
        <v>46078</v>
      </c>
      <c r="C18" s="16" t="s">
        <v>14</v>
      </c>
      <c r="D18" s="16">
        <v>3</v>
      </c>
      <c r="E18" s="16"/>
      <c r="F18" s="16"/>
      <c r="G18" s="16" t="s">
        <v>12</v>
      </c>
      <c r="H18" s="16"/>
      <c r="I18" s="16"/>
      <c r="J18" s="16"/>
    </row>
    <row r="19" spans="1:10" x14ac:dyDescent="0.3">
      <c r="A19" s="16" t="str">
        <f t="shared" si="0"/>
        <v>Round 2</v>
      </c>
      <c r="B19" s="18">
        <f t="shared" si="2"/>
        <v>46078</v>
      </c>
      <c r="C19" s="16" t="s">
        <v>17</v>
      </c>
      <c r="D19" s="16">
        <v>3</v>
      </c>
      <c r="E19" s="16"/>
      <c r="F19" s="16"/>
      <c r="G19" s="16" t="s">
        <v>12</v>
      </c>
      <c r="H19" s="16"/>
      <c r="I19" s="16"/>
      <c r="J19" s="16"/>
    </row>
    <row r="20" spans="1:10" x14ac:dyDescent="0.3">
      <c r="A20" s="16" t="s">
        <v>25</v>
      </c>
      <c r="B20" s="17">
        <f>B11+7</f>
        <v>46085</v>
      </c>
      <c r="C20" s="16" t="s">
        <v>9</v>
      </c>
      <c r="D20" s="16">
        <v>1</v>
      </c>
      <c r="E20" s="16"/>
      <c r="F20" s="16"/>
      <c r="G20" s="16" t="s">
        <v>12</v>
      </c>
      <c r="H20" s="16"/>
      <c r="I20" s="16"/>
      <c r="J20" s="16"/>
    </row>
    <row r="21" spans="1:10" x14ac:dyDescent="0.3">
      <c r="A21" s="16" t="str">
        <f t="shared" si="0"/>
        <v>Round 3</v>
      </c>
      <c r="B21" s="18">
        <f>B20</f>
        <v>46085</v>
      </c>
      <c r="C21" s="16" t="s">
        <v>14</v>
      </c>
      <c r="D21" s="16">
        <v>1</v>
      </c>
      <c r="E21" s="16"/>
      <c r="F21" s="16"/>
      <c r="G21" s="16" t="s">
        <v>12</v>
      </c>
      <c r="H21" s="16"/>
      <c r="I21" s="16"/>
      <c r="J21" s="16"/>
    </row>
    <row r="22" spans="1:10" x14ac:dyDescent="0.3">
      <c r="A22" s="16" t="str">
        <f t="shared" si="0"/>
        <v>Round 3</v>
      </c>
      <c r="B22" s="18">
        <f t="shared" ref="B22:B28" si="3">B21</f>
        <v>46085</v>
      </c>
      <c r="C22" s="16" t="s">
        <v>17</v>
      </c>
      <c r="D22" s="16">
        <v>1</v>
      </c>
      <c r="E22" s="16"/>
      <c r="F22" s="16"/>
      <c r="G22" s="16" t="s">
        <v>12</v>
      </c>
      <c r="H22" s="16"/>
      <c r="I22" s="16"/>
      <c r="J22" s="16"/>
    </row>
    <row r="23" spans="1:10" x14ac:dyDescent="0.3">
      <c r="A23" s="16" t="str">
        <f t="shared" si="0"/>
        <v>Round 3</v>
      </c>
      <c r="B23" s="18">
        <f t="shared" si="3"/>
        <v>46085</v>
      </c>
      <c r="C23" s="16" t="s">
        <v>9</v>
      </c>
      <c r="D23" s="16">
        <v>2</v>
      </c>
      <c r="E23" s="16"/>
      <c r="F23" s="16"/>
      <c r="G23" s="16" t="s">
        <v>12</v>
      </c>
      <c r="H23" s="16"/>
      <c r="I23" s="16"/>
      <c r="J23" s="16"/>
    </row>
    <row r="24" spans="1:10" x14ac:dyDescent="0.3">
      <c r="A24" s="16" t="str">
        <f t="shared" si="0"/>
        <v>Round 3</v>
      </c>
      <c r="B24" s="18">
        <f t="shared" si="3"/>
        <v>46085</v>
      </c>
      <c r="C24" s="16" t="s">
        <v>14</v>
      </c>
      <c r="D24" s="16">
        <v>2</v>
      </c>
      <c r="E24" s="16"/>
      <c r="F24" s="16"/>
      <c r="G24" s="16" t="s">
        <v>12</v>
      </c>
      <c r="H24" s="16"/>
      <c r="I24" s="16"/>
      <c r="J24" s="16"/>
    </row>
    <row r="25" spans="1:10" x14ac:dyDescent="0.3">
      <c r="A25" s="16" t="str">
        <f t="shared" si="0"/>
        <v>Round 3</v>
      </c>
      <c r="B25" s="18">
        <f t="shared" si="3"/>
        <v>46085</v>
      </c>
      <c r="C25" s="16" t="s">
        <v>17</v>
      </c>
      <c r="D25" s="16">
        <v>2</v>
      </c>
      <c r="E25" s="16"/>
      <c r="F25" s="16"/>
      <c r="G25" s="16" t="s">
        <v>12</v>
      </c>
      <c r="H25" s="16"/>
      <c r="I25" s="16"/>
      <c r="J25" s="16"/>
    </row>
    <row r="26" spans="1:10" x14ac:dyDescent="0.3">
      <c r="A26" s="16" t="str">
        <f t="shared" si="0"/>
        <v>Round 3</v>
      </c>
      <c r="B26" s="18">
        <f t="shared" si="3"/>
        <v>46085</v>
      </c>
      <c r="C26" s="16" t="s">
        <v>9</v>
      </c>
      <c r="D26" s="16">
        <v>3</v>
      </c>
      <c r="E26" s="16"/>
      <c r="F26" s="16"/>
      <c r="G26" s="16" t="s">
        <v>12</v>
      </c>
      <c r="H26" s="16"/>
      <c r="I26" s="16"/>
      <c r="J26" s="16"/>
    </row>
    <row r="27" spans="1:10" x14ac:dyDescent="0.3">
      <c r="A27" s="16" t="str">
        <f t="shared" si="0"/>
        <v>Round 3</v>
      </c>
      <c r="B27" s="18">
        <f t="shared" si="3"/>
        <v>46085</v>
      </c>
      <c r="C27" s="16" t="s">
        <v>14</v>
      </c>
      <c r="D27" s="16">
        <v>3</v>
      </c>
      <c r="E27" s="16"/>
      <c r="F27" s="16"/>
      <c r="G27" s="16" t="s">
        <v>12</v>
      </c>
      <c r="H27" s="16"/>
      <c r="I27" s="16"/>
      <c r="J27" s="16"/>
    </row>
    <row r="28" spans="1:10" x14ac:dyDescent="0.3">
      <c r="A28" s="16" t="str">
        <f t="shared" si="0"/>
        <v>Round 3</v>
      </c>
      <c r="B28" s="18">
        <f t="shared" si="3"/>
        <v>46085</v>
      </c>
      <c r="C28" s="16" t="s">
        <v>17</v>
      </c>
      <c r="D28" s="16">
        <v>3</v>
      </c>
      <c r="E28" s="16"/>
      <c r="F28" s="16"/>
      <c r="G28" s="16" t="s">
        <v>12</v>
      </c>
      <c r="H28" s="16"/>
      <c r="I28" s="16"/>
      <c r="J28" s="16"/>
    </row>
    <row r="29" spans="1:10" x14ac:dyDescent="0.3">
      <c r="A29" s="16" t="s">
        <v>26</v>
      </c>
      <c r="B29" s="17">
        <f>B20+7</f>
        <v>46092</v>
      </c>
      <c r="C29" s="16" t="s">
        <v>9</v>
      </c>
      <c r="D29" s="16">
        <v>1</v>
      </c>
      <c r="E29" s="16"/>
      <c r="F29" s="16"/>
      <c r="G29" s="16" t="s">
        <v>12</v>
      </c>
      <c r="H29" s="16"/>
      <c r="I29" s="16"/>
      <c r="J29" s="16"/>
    </row>
    <row r="30" spans="1:10" x14ac:dyDescent="0.3">
      <c r="A30" s="16" t="str">
        <f t="shared" si="0"/>
        <v>Round 4</v>
      </c>
      <c r="B30" s="18">
        <f>B29</f>
        <v>46092</v>
      </c>
      <c r="C30" s="16" t="s">
        <v>14</v>
      </c>
      <c r="D30" s="16">
        <v>1</v>
      </c>
      <c r="E30" s="16"/>
      <c r="F30" s="16"/>
      <c r="G30" s="16" t="s">
        <v>12</v>
      </c>
      <c r="H30" s="16"/>
      <c r="I30" s="16"/>
      <c r="J30" s="16"/>
    </row>
    <row r="31" spans="1:10" x14ac:dyDescent="0.3">
      <c r="A31" s="16" t="str">
        <f t="shared" si="0"/>
        <v>Round 4</v>
      </c>
      <c r="B31" s="18">
        <f t="shared" ref="B31:B37" si="4">B30</f>
        <v>46092</v>
      </c>
      <c r="C31" s="16" t="s">
        <v>17</v>
      </c>
      <c r="D31" s="16">
        <v>1</v>
      </c>
      <c r="E31" s="16"/>
      <c r="F31" s="16"/>
      <c r="G31" s="16" t="s">
        <v>12</v>
      </c>
      <c r="H31" s="16"/>
      <c r="I31" s="16"/>
      <c r="J31" s="16"/>
    </row>
    <row r="32" spans="1:10" x14ac:dyDescent="0.3">
      <c r="A32" s="16" t="str">
        <f t="shared" si="0"/>
        <v>Round 4</v>
      </c>
      <c r="B32" s="18">
        <f t="shared" si="4"/>
        <v>46092</v>
      </c>
      <c r="C32" s="16" t="s">
        <v>9</v>
      </c>
      <c r="D32" s="16">
        <v>2</v>
      </c>
      <c r="E32" s="16"/>
      <c r="F32" s="16"/>
      <c r="G32" s="16" t="s">
        <v>12</v>
      </c>
      <c r="H32" s="16"/>
      <c r="I32" s="16"/>
      <c r="J32" s="16"/>
    </row>
    <row r="33" spans="1:10" x14ac:dyDescent="0.3">
      <c r="A33" s="16" t="str">
        <f t="shared" si="0"/>
        <v>Round 4</v>
      </c>
      <c r="B33" s="18">
        <f t="shared" si="4"/>
        <v>46092</v>
      </c>
      <c r="C33" s="16" t="s">
        <v>14</v>
      </c>
      <c r="D33" s="16">
        <v>2</v>
      </c>
      <c r="E33" s="16"/>
      <c r="F33" s="16"/>
      <c r="G33" s="16" t="s">
        <v>12</v>
      </c>
      <c r="H33" s="16"/>
      <c r="I33" s="16"/>
      <c r="J33" s="16"/>
    </row>
    <row r="34" spans="1:10" x14ac:dyDescent="0.3">
      <c r="A34" s="16" t="str">
        <f t="shared" si="0"/>
        <v>Round 4</v>
      </c>
      <c r="B34" s="18">
        <f t="shared" si="4"/>
        <v>46092</v>
      </c>
      <c r="C34" s="16" t="s">
        <v>17</v>
      </c>
      <c r="D34" s="16">
        <v>2</v>
      </c>
      <c r="E34" s="16"/>
      <c r="F34" s="16"/>
      <c r="G34" s="16" t="s">
        <v>12</v>
      </c>
      <c r="H34" s="16"/>
      <c r="I34" s="16"/>
      <c r="J34" s="16"/>
    </row>
    <row r="35" spans="1:10" x14ac:dyDescent="0.3">
      <c r="A35" s="16" t="str">
        <f t="shared" si="0"/>
        <v>Round 4</v>
      </c>
      <c r="B35" s="18">
        <f t="shared" si="4"/>
        <v>46092</v>
      </c>
      <c r="C35" s="16" t="s">
        <v>9</v>
      </c>
      <c r="D35" s="16">
        <v>3</v>
      </c>
      <c r="E35" s="16"/>
      <c r="F35" s="16"/>
      <c r="G35" s="16" t="s">
        <v>12</v>
      </c>
      <c r="H35" s="16"/>
      <c r="I35" s="16"/>
      <c r="J35" s="16"/>
    </row>
    <row r="36" spans="1:10" x14ac:dyDescent="0.3">
      <c r="A36" s="16" t="str">
        <f t="shared" si="0"/>
        <v>Round 4</v>
      </c>
      <c r="B36" s="18">
        <f t="shared" si="4"/>
        <v>46092</v>
      </c>
      <c r="C36" s="16" t="s">
        <v>14</v>
      </c>
      <c r="D36" s="16">
        <v>3</v>
      </c>
      <c r="E36" s="16"/>
      <c r="F36" s="16"/>
      <c r="G36" s="16" t="s">
        <v>12</v>
      </c>
      <c r="H36" s="16"/>
      <c r="I36" s="16"/>
      <c r="J36" s="16"/>
    </row>
    <row r="37" spans="1:10" x14ac:dyDescent="0.3">
      <c r="A37" s="16" t="str">
        <f t="shared" si="0"/>
        <v>Round 4</v>
      </c>
      <c r="B37" s="18">
        <f t="shared" si="4"/>
        <v>46092</v>
      </c>
      <c r="C37" s="16" t="s">
        <v>17</v>
      </c>
      <c r="D37" s="16">
        <v>3</v>
      </c>
      <c r="E37" s="16"/>
      <c r="F37" s="16"/>
      <c r="G37" s="16" t="s">
        <v>12</v>
      </c>
      <c r="H37" s="16"/>
      <c r="I37" s="16"/>
      <c r="J37" s="16"/>
    </row>
    <row r="38" spans="1:10" x14ac:dyDescent="0.3">
      <c r="A38" s="16" t="s">
        <v>27</v>
      </c>
      <c r="B38" s="17">
        <f>B29+7</f>
        <v>46099</v>
      </c>
      <c r="C38" s="16" t="s">
        <v>9</v>
      </c>
      <c r="D38" s="16">
        <v>1</v>
      </c>
      <c r="E38" s="16"/>
      <c r="F38" s="16"/>
      <c r="G38" s="16" t="s">
        <v>12</v>
      </c>
      <c r="H38" s="16"/>
      <c r="I38" s="16"/>
      <c r="J38" s="16"/>
    </row>
    <row r="39" spans="1:10" x14ac:dyDescent="0.3">
      <c r="A39" s="16" t="str">
        <f t="shared" si="0"/>
        <v>Round 5</v>
      </c>
      <c r="B39" s="18">
        <f>B38</f>
        <v>46099</v>
      </c>
      <c r="C39" s="16" t="s">
        <v>14</v>
      </c>
      <c r="D39" s="16">
        <v>1</v>
      </c>
      <c r="E39" s="16"/>
      <c r="F39" s="16"/>
      <c r="G39" s="16" t="s">
        <v>12</v>
      </c>
      <c r="H39" s="16"/>
      <c r="I39" s="16"/>
      <c r="J39" s="16"/>
    </row>
    <row r="40" spans="1:10" x14ac:dyDescent="0.3">
      <c r="A40" s="16" t="str">
        <f t="shared" si="0"/>
        <v>Round 5</v>
      </c>
      <c r="B40" s="18">
        <f t="shared" ref="B40:B46" si="5">B39</f>
        <v>46099</v>
      </c>
      <c r="C40" s="16" t="s">
        <v>17</v>
      </c>
      <c r="D40" s="16">
        <v>1</v>
      </c>
      <c r="E40" s="16"/>
      <c r="F40" s="16"/>
      <c r="G40" s="16" t="s">
        <v>12</v>
      </c>
      <c r="H40" s="16"/>
      <c r="I40" s="16"/>
      <c r="J40" s="16"/>
    </row>
    <row r="41" spans="1:10" x14ac:dyDescent="0.3">
      <c r="A41" s="16" t="str">
        <f t="shared" si="0"/>
        <v>Round 5</v>
      </c>
      <c r="B41" s="18">
        <f t="shared" si="5"/>
        <v>46099</v>
      </c>
      <c r="C41" s="16" t="s">
        <v>9</v>
      </c>
      <c r="D41" s="16">
        <v>2</v>
      </c>
      <c r="E41" s="16"/>
      <c r="F41" s="16"/>
      <c r="G41" s="16" t="s">
        <v>12</v>
      </c>
      <c r="H41" s="16"/>
      <c r="I41" s="16"/>
      <c r="J41" s="16"/>
    </row>
    <row r="42" spans="1:10" x14ac:dyDescent="0.3">
      <c r="A42" s="16" t="str">
        <f t="shared" si="0"/>
        <v>Round 5</v>
      </c>
      <c r="B42" s="18">
        <f t="shared" si="5"/>
        <v>46099</v>
      </c>
      <c r="C42" s="16" t="s">
        <v>14</v>
      </c>
      <c r="D42" s="16">
        <v>2</v>
      </c>
      <c r="E42" s="16"/>
      <c r="F42" s="16"/>
      <c r="G42" s="16" t="s">
        <v>12</v>
      </c>
      <c r="H42" s="16"/>
      <c r="I42" s="16"/>
      <c r="J42" s="16"/>
    </row>
    <row r="43" spans="1:10" x14ac:dyDescent="0.3">
      <c r="A43" s="16" t="str">
        <f t="shared" si="0"/>
        <v>Round 5</v>
      </c>
      <c r="B43" s="18">
        <f t="shared" si="5"/>
        <v>46099</v>
      </c>
      <c r="C43" s="16" t="s">
        <v>17</v>
      </c>
      <c r="D43" s="16">
        <v>2</v>
      </c>
      <c r="E43" s="16"/>
      <c r="F43" s="16"/>
      <c r="G43" s="16" t="s">
        <v>12</v>
      </c>
      <c r="H43" s="16"/>
      <c r="I43" s="16"/>
      <c r="J43" s="16"/>
    </row>
    <row r="44" spans="1:10" x14ac:dyDescent="0.3">
      <c r="A44" s="16" t="str">
        <f t="shared" si="0"/>
        <v>Round 5</v>
      </c>
      <c r="B44" s="18">
        <f t="shared" si="5"/>
        <v>46099</v>
      </c>
      <c r="C44" s="16" t="s">
        <v>9</v>
      </c>
      <c r="D44" s="16">
        <v>3</v>
      </c>
      <c r="E44" s="16"/>
      <c r="F44" s="16"/>
      <c r="G44" s="16" t="s">
        <v>12</v>
      </c>
      <c r="H44" s="16"/>
      <c r="I44" s="16"/>
      <c r="J44" s="16"/>
    </row>
    <row r="45" spans="1:10" x14ac:dyDescent="0.3">
      <c r="A45" s="16" t="str">
        <f t="shared" si="0"/>
        <v>Round 5</v>
      </c>
      <c r="B45" s="18">
        <f t="shared" si="5"/>
        <v>46099</v>
      </c>
      <c r="C45" s="16" t="s">
        <v>14</v>
      </c>
      <c r="D45" s="16">
        <v>3</v>
      </c>
      <c r="E45" s="16"/>
      <c r="F45" s="16"/>
      <c r="G45" s="16" t="s">
        <v>12</v>
      </c>
      <c r="H45" s="16"/>
      <c r="I45" s="16"/>
      <c r="J45" s="16"/>
    </row>
    <row r="46" spans="1:10" x14ac:dyDescent="0.3">
      <c r="A46" s="16" t="str">
        <f t="shared" si="0"/>
        <v>Round 5</v>
      </c>
      <c r="B46" s="18">
        <f t="shared" si="5"/>
        <v>46099</v>
      </c>
      <c r="C46" s="16" t="s">
        <v>17</v>
      </c>
      <c r="D46" s="16">
        <v>3</v>
      </c>
      <c r="E46" s="16"/>
      <c r="F46" s="16"/>
      <c r="G46" s="16" t="s">
        <v>12</v>
      </c>
      <c r="H46" s="16"/>
      <c r="I46" s="16"/>
      <c r="J46" s="16"/>
    </row>
    <row r="47" spans="1:10" x14ac:dyDescent="0.3">
      <c r="A47" s="16" t="s">
        <v>28</v>
      </c>
      <c r="B47" s="17">
        <f>B38+7</f>
        <v>46106</v>
      </c>
      <c r="C47" s="16" t="s">
        <v>9</v>
      </c>
      <c r="D47" s="16">
        <v>1</v>
      </c>
      <c r="E47" s="16"/>
      <c r="F47" s="16"/>
      <c r="G47" s="16" t="s">
        <v>12</v>
      </c>
      <c r="H47" s="16"/>
      <c r="I47" s="16"/>
      <c r="J47" s="16"/>
    </row>
    <row r="48" spans="1:10" x14ac:dyDescent="0.3">
      <c r="A48" s="16" t="str">
        <f t="shared" si="0"/>
        <v>Round 6</v>
      </c>
      <c r="B48" s="18">
        <f>B47</f>
        <v>46106</v>
      </c>
      <c r="C48" s="16" t="s">
        <v>14</v>
      </c>
      <c r="D48" s="16">
        <v>1</v>
      </c>
      <c r="E48" s="16"/>
      <c r="F48" s="16"/>
      <c r="G48" s="16" t="s">
        <v>12</v>
      </c>
      <c r="H48" s="16"/>
      <c r="I48" s="16"/>
      <c r="J48" s="16"/>
    </row>
    <row r="49" spans="1:10" x14ac:dyDescent="0.3">
      <c r="A49" s="16" t="str">
        <f t="shared" si="0"/>
        <v>Round 6</v>
      </c>
      <c r="B49" s="18">
        <f t="shared" ref="B49:B55" si="6">B48</f>
        <v>46106</v>
      </c>
      <c r="C49" s="16" t="s">
        <v>17</v>
      </c>
      <c r="D49" s="16">
        <v>1</v>
      </c>
      <c r="E49" s="16"/>
      <c r="F49" s="16"/>
      <c r="G49" s="16" t="s">
        <v>12</v>
      </c>
      <c r="H49" s="16"/>
      <c r="I49" s="16"/>
      <c r="J49" s="16"/>
    </row>
    <row r="50" spans="1:10" x14ac:dyDescent="0.3">
      <c r="A50" s="16" t="str">
        <f t="shared" si="0"/>
        <v>Round 6</v>
      </c>
      <c r="B50" s="18">
        <f t="shared" si="6"/>
        <v>46106</v>
      </c>
      <c r="C50" s="16" t="s">
        <v>9</v>
      </c>
      <c r="D50" s="16">
        <v>2</v>
      </c>
      <c r="E50" s="16"/>
      <c r="F50" s="16"/>
      <c r="G50" s="16" t="s">
        <v>12</v>
      </c>
      <c r="H50" s="16"/>
      <c r="I50" s="16"/>
      <c r="J50" s="16"/>
    </row>
    <row r="51" spans="1:10" x14ac:dyDescent="0.3">
      <c r="A51" s="16" t="str">
        <f t="shared" si="0"/>
        <v>Round 6</v>
      </c>
      <c r="B51" s="18">
        <f t="shared" si="6"/>
        <v>46106</v>
      </c>
      <c r="C51" s="16" t="s">
        <v>14</v>
      </c>
      <c r="D51" s="16">
        <v>2</v>
      </c>
      <c r="E51" s="16"/>
      <c r="F51" s="16"/>
      <c r="G51" s="16" t="s">
        <v>12</v>
      </c>
      <c r="H51" s="16"/>
      <c r="I51" s="16"/>
      <c r="J51" s="16"/>
    </row>
    <row r="52" spans="1:10" x14ac:dyDescent="0.3">
      <c r="A52" s="16" t="str">
        <f t="shared" si="0"/>
        <v>Round 6</v>
      </c>
      <c r="B52" s="18">
        <f t="shared" si="6"/>
        <v>46106</v>
      </c>
      <c r="C52" s="16" t="s">
        <v>17</v>
      </c>
      <c r="D52" s="16">
        <v>2</v>
      </c>
      <c r="E52" s="16"/>
      <c r="F52" s="16"/>
      <c r="G52" s="16" t="s">
        <v>12</v>
      </c>
      <c r="H52" s="16"/>
      <c r="I52" s="16"/>
      <c r="J52" s="16"/>
    </row>
    <row r="53" spans="1:10" x14ac:dyDescent="0.3">
      <c r="A53" s="16" t="str">
        <f t="shared" si="0"/>
        <v>Round 6</v>
      </c>
      <c r="B53" s="18">
        <f t="shared" si="6"/>
        <v>46106</v>
      </c>
      <c r="C53" s="16" t="s">
        <v>9</v>
      </c>
      <c r="D53" s="16">
        <v>3</v>
      </c>
      <c r="E53" s="16"/>
      <c r="F53" s="16"/>
      <c r="G53" s="16" t="s">
        <v>12</v>
      </c>
      <c r="H53" s="16"/>
      <c r="I53" s="16"/>
      <c r="J53" s="16"/>
    </row>
    <row r="54" spans="1:10" x14ac:dyDescent="0.3">
      <c r="A54" s="16" t="str">
        <f t="shared" si="0"/>
        <v>Round 6</v>
      </c>
      <c r="B54" s="18">
        <f t="shared" si="6"/>
        <v>46106</v>
      </c>
      <c r="C54" s="16" t="s">
        <v>14</v>
      </c>
      <c r="D54" s="16">
        <v>3</v>
      </c>
      <c r="E54" s="16"/>
      <c r="F54" s="16"/>
      <c r="G54" s="16" t="s">
        <v>12</v>
      </c>
      <c r="H54" s="16"/>
      <c r="I54" s="16"/>
      <c r="J54" s="16"/>
    </row>
    <row r="55" spans="1:10" x14ac:dyDescent="0.3">
      <c r="A55" s="16" t="str">
        <f t="shared" si="0"/>
        <v>Round 6</v>
      </c>
      <c r="B55" s="18">
        <f t="shared" si="6"/>
        <v>46106</v>
      </c>
      <c r="C55" s="16" t="s">
        <v>17</v>
      </c>
      <c r="D55" s="16">
        <v>3</v>
      </c>
      <c r="E55" s="16"/>
      <c r="F55" s="16"/>
      <c r="G55" s="16" t="s">
        <v>12</v>
      </c>
      <c r="H55" s="16"/>
      <c r="I55" s="16"/>
      <c r="J55" s="16"/>
    </row>
    <row r="56" spans="1:10" x14ac:dyDescent="0.3">
      <c r="A56" s="16" t="s">
        <v>29</v>
      </c>
      <c r="B56" s="17">
        <f>B47+7</f>
        <v>46113</v>
      </c>
      <c r="C56" s="16" t="s">
        <v>9</v>
      </c>
      <c r="D56" s="16">
        <v>1</v>
      </c>
      <c r="E56" s="16"/>
      <c r="F56" s="16"/>
      <c r="G56" s="16" t="s">
        <v>12</v>
      </c>
      <c r="H56" s="16"/>
      <c r="I56" s="16"/>
      <c r="J56" s="16"/>
    </row>
    <row r="57" spans="1:10" x14ac:dyDescent="0.3">
      <c r="A57" s="16" t="str">
        <f t="shared" si="0"/>
        <v>Round 7</v>
      </c>
      <c r="B57" s="18">
        <f>B56</f>
        <v>46113</v>
      </c>
      <c r="C57" s="16" t="s">
        <v>14</v>
      </c>
      <c r="D57" s="16">
        <v>1</v>
      </c>
      <c r="E57" s="16"/>
      <c r="F57" s="16"/>
      <c r="G57" s="16" t="s">
        <v>12</v>
      </c>
      <c r="H57" s="16"/>
      <c r="I57" s="16"/>
      <c r="J57" s="16"/>
    </row>
    <row r="58" spans="1:10" x14ac:dyDescent="0.3">
      <c r="A58" s="16" t="str">
        <f t="shared" si="0"/>
        <v>Round 7</v>
      </c>
      <c r="B58" s="18">
        <f t="shared" ref="B58:B63" si="7">B57</f>
        <v>46113</v>
      </c>
      <c r="C58" s="16" t="s">
        <v>17</v>
      </c>
      <c r="D58" s="16">
        <v>1</v>
      </c>
      <c r="E58" s="16"/>
      <c r="F58" s="16"/>
      <c r="G58" s="16" t="s">
        <v>12</v>
      </c>
      <c r="H58" s="16"/>
      <c r="I58" s="16"/>
      <c r="J58" s="16"/>
    </row>
    <row r="59" spans="1:10" x14ac:dyDescent="0.3">
      <c r="A59" s="16" t="str">
        <f t="shared" si="0"/>
        <v>Round 7</v>
      </c>
      <c r="B59" s="18">
        <f t="shared" si="7"/>
        <v>46113</v>
      </c>
      <c r="C59" s="16" t="s">
        <v>9</v>
      </c>
      <c r="D59" s="16">
        <v>2</v>
      </c>
      <c r="E59" s="16"/>
      <c r="F59" s="16"/>
      <c r="G59" s="16" t="s">
        <v>12</v>
      </c>
      <c r="H59" s="16"/>
      <c r="I59" s="16"/>
      <c r="J59" s="16"/>
    </row>
    <row r="60" spans="1:10" x14ac:dyDescent="0.3">
      <c r="A60" s="16" t="str">
        <f t="shared" si="0"/>
        <v>Round 7</v>
      </c>
      <c r="B60" s="18">
        <f t="shared" si="7"/>
        <v>46113</v>
      </c>
      <c r="C60" s="16" t="s">
        <v>14</v>
      </c>
      <c r="D60" s="16">
        <v>2</v>
      </c>
      <c r="E60" s="16"/>
      <c r="F60" s="16"/>
      <c r="G60" s="16" t="s">
        <v>12</v>
      </c>
      <c r="H60" s="16"/>
      <c r="I60" s="16"/>
      <c r="J60" s="16"/>
    </row>
    <row r="61" spans="1:10" x14ac:dyDescent="0.3">
      <c r="A61" s="16" t="str">
        <f t="shared" si="0"/>
        <v>Round 7</v>
      </c>
      <c r="B61" s="18">
        <f t="shared" si="7"/>
        <v>46113</v>
      </c>
      <c r="C61" s="16" t="s">
        <v>17</v>
      </c>
      <c r="D61" s="16">
        <v>2</v>
      </c>
      <c r="E61" s="16"/>
      <c r="F61" s="16"/>
      <c r="G61" s="16" t="s">
        <v>12</v>
      </c>
      <c r="H61" s="16"/>
      <c r="I61" s="16"/>
      <c r="J61" s="16"/>
    </row>
    <row r="62" spans="1:10" x14ac:dyDescent="0.3">
      <c r="A62" s="16" t="str">
        <f t="shared" si="0"/>
        <v>Round 7</v>
      </c>
      <c r="B62" s="18">
        <f t="shared" si="7"/>
        <v>46113</v>
      </c>
      <c r="C62" s="16" t="s">
        <v>9</v>
      </c>
      <c r="D62" s="16">
        <v>3</v>
      </c>
      <c r="E62" s="16"/>
      <c r="F62" s="16"/>
      <c r="G62" s="16" t="s">
        <v>12</v>
      </c>
      <c r="H62" s="16"/>
      <c r="I62" s="16"/>
      <c r="J62" s="16"/>
    </row>
    <row r="63" spans="1:10" x14ac:dyDescent="0.3">
      <c r="A63" s="16" t="str">
        <f t="shared" si="0"/>
        <v>Round 7</v>
      </c>
      <c r="B63" s="18">
        <f t="shared" si="7"/>
        <v>46113</v>
      </c>
      <c r="C63" s="16" t="s">
        <v>14</v>
      </c>
      <c r="D63" s="16">
        <v>3</v>
      </c>
      <c r="E63" s="16"/>
      <c r="F63" s="16"/>
      <c r="G63" s="16" t="s">
        <v>12</v>
      </c>
      <c r="H63" s="16"/>
      <c r="I63" s="16"/>
      <c r="J63" s="16"/>
    </row>
    <row r="64" spans="1:10" x14ac:dyDescent="0.3">
      <c r="A64" s="16" t="s">
        <v>61</v>
      </c>
      <c r="B64" s="19">
        <f>B56+7</f>
        <v>46120</v>
      </c>
      <c r="C64" s="16"/>
      <c r="D64" s="16"/>
      <c r="E64" s="16"/>
      <c r="F64" s="16"/>
      <c r="G64" s="16" t="s">
        <v>12</v>
      </c>
      <c r="H64" s="16"/>
      <c r="I64" s="16"/>
      <c r="J64" s="16"/>
    </row>
    <row r="65" spans="1:10" x14ac:dyDescent="0.3">
      <c r="A65" s="16" t="str">
        <f t="shared" si="0"/>
        <v>Holidays</v>
      </c>
      <c r="B65" s="19">
        <f>B64+7</f>
        <v>46127</v>
      </c>
      <c r="C65" s="16"/>
      <c r="D65" s="16"/>
      <c r="E65" s="16"/>
      <c r="F65" s="16"/>
      <c r="G65" s="16" t="s">
        <v>12</v>
      </c>
      <c r="H65" s="16"/>
      <c r="I65" s="16"/>
      <c r="J65" s="16"/>
    </row>
    <row r="66" spans="1:10" x14ac:dyDescent="0.3">
      <c r="A66" s="16" t="s">
        <v>34</v>
      </c>
      <c r="B66" s="17">
        <f>B65+7</f>
        <v>46134</v>
      </c>
      <c r="C66" s="16" t="s">
        <v>9</v>
      </c>
      <c r="D66" s="16">
        <v>1</v>
      </c>
      <c r="E66" s="16"/>
      <c r="F66" s="16"/>
      <c r="G66" s="16" t="s">
        <v>12</v>
      </c>
      <c r="H66" s="16"/>
      <c r="I66" s="16"/>
      <c r="J66" s="16"/>
    </row>
    <row r="67" spans="1:10" x14ac:dyDescent="0.3">
      <c r="A67" s="16" t="str">
        <f t="shared" ref="A67:A130" si="8">A66</f>
        <v>Round 8</v>
      </c>
      <c r="B67" s="18">
        <f>B66</f>
        <v>46134</v>
      </c>
      <c r="C67" s="16" t="s">
        <v>14</v>
      </c>
      <c r="D67" s="16">
        <v>1</v>
      </c>
      <c r="E67" s="16"/>
      <c r="F67" s="16"/>
      <c r="G67" s="16" t="s">
        <v>12</v>
      </c>
      <c r="H67" s="16"/>
      <c r="I67" s="16"/>
      <c r="J67" s="16"/>
    </row>
    <row r="68" spans="1:10" x14ac:dyDescent="0.3">
      <c r="A68" s="16" t="str">
        <f t="shared" si="8"/>
        <v>Round 8</v>
      </c>
      <c r="B68" s="18">
        <f t="shared" ref="B68:B74" si="9">B67</f>
        <v>46134</v>
      </c>
      <c r="C68" s="16" t="s">
        <v>17</v>
      </c>
      <c r="D68" s="16">
        <v>1</v>
      </c>
      <c r="E68" s="16"/>
      <c r="F68" s="16"/>
      <c r="G68" s="16" t="s">
        <v>12</v>
      </c>
      <c r="H68" s="16"/>
      <c r="I68" s="16"/>
      <c r="J68" s="16"/>
    </row>
    <row r="69" spans="1:10" x14ac:dyDescent="0.3">
      <c r="A69" s="16" t="str">
        <f t="shared" si="8"/>
        <v>Round 8</v>
      </c>
      <c r="B69" s="18">
        <f t="shared" si="9"/>
        <v>46134</v>
      </c>
      <c r="C69" s="16" t="s">
        <v>9</v>
      </c>
      <c r="D69" s="16">
        <v>2</v>
      </c>
      <c r="E69" s="16"/>
      <c r="F69" s="16"/>
      <c r="G69" s="16" t="s">
        <v>12</v>
      </c>
      <c r="H69" s="16"/>
      <c r="I69" s="16"/>
      <c r="J69" s="16"/>
    </row>
    <row r="70" spans="1:10" x14ac:dyDescent="0.3">
      <c r="A70" s="16" t="str">
        <f t="shared" si="8"/>
        <v>Round 8</v>
      </c>
      <c r="B70" s="18">
        <f t="shared" si="9"/>
        <v>46134</v>
      </c>
      <c r="C70" s="16" t="s">
        <v>14</v>
      </c>
      <c r="D70" s="16">
        <v>2</v>
      </c>
      <c r="E70" s="16"/>
      <c r="F70" s="16"/>
      <c r="G70" s="16" t="s">
        <v>12</v>
      </c>
      <c r="H70" s="16"/>
      <c r="I70" s="16"/>
      <c r="J70" s="16"/>
    </row>
    <row r="71" spans="1:10" x14ac:dyDescent="0.3">
      <c r="A71" s="16" t="str">
        <f t="shared" si="8"/>
        <v>Round 8</v>
      </c>
      <c r="B71" s="18">
        <f t="shared" si="9"/>
        <v>46134</v>
      </c>
      <c r="C71" s="16" t="s">
        <v>17</v>
      </c>
      <c r="D71" s="16">
        <v>2</v>
      </c>
      <c r="E71" s="16"/>
      <c r="F71" s="16"/>
      <c r="G71" s="16" t="s">
        <v>12</v>
      </c>
      <c r="H71" s="16"/>
      <c r="I71" s="16"/>
      <c r="J71" s="16"/>
    </row>
    <row r="72" spans="1:10" x14ac:dyDescent="0.3">
      <c r="A72" s="16" t="str">
        <f t="shared" si="8"/>
        <v>Round 8</v>
      </c>
      <c r="B72" s="18">
        <f t="shared" si="9"/>
        <v>46134</v>
      </c>
      <c r="C72" s="16" t="s">
        <v>9</v>
      </c>
      <c r="D72" s="16">
        <v>3</v>
      </c>
      <c r="E72" s="16"/>
      <c r="F72" s="16"/>
      <c r="G72" s="16" t="s">
        <v>12</v>
      </c>
      <c r="H72" s="16"/>
      <c r="I72" s="16"/>
      <c r="J72" s="16"/>
    </row>
    <row r="73" spans="1:10" x14ac:dyDescent="0.3">
      <c r="A73" s="16" t="str">
        <f t="shared" si="8"/>
        <v>Round 8</v>
      </c>
      <c r="B73" s="18">
        <f t="shared" si="9"/>
        <v>46134</v>
      </c>
      <c r="C73" s="16" t="s">
        <v>14</v>
      </c>
      <c r="D73" s="16">
        <v>3</v>
      </c>
      <c r="E73" s="16"/>
      <c r="F73" s="16"/>
      <c r="G73" s="16" t="s">
        <v>12</v>
      </c>
      <c r="H73" s="16"/>
      <c r="I73" s="16"/>
      <c r="J73" s="16"/>
    </row>
    <row r="74" spans="1:10" x14ac:dyDescent="0.3">
      <c r="A74" s="16" t="str">
        <f t="shared" si="8"/>
        <v>Round 8</v>
      </c>
      <c r="B74" s="18">
        <f t="shared" si="9"/>
        <v>46134</v>
      </c>
      <c r="C74" s="16" t="s">
        <v>17</v>
      </c>
      <c r="D74" s="16">
        <v>3</v>
      </c>
      <c r="E74" s="16"/>
      <c r="F74" s="16"/>
      <c r="G74" s="16" t="s">
        <v>12</v>
      </c>
      <c r="H74" s="16"/>
      <c r="I74" s="16"/>
      <c r="J74" s="16"/>
    </row>
    <row r="75" spans="1:10" x14ac:dyDescent="0.3">
      <c r="A75" s="16" t="s">
        <v>35</v>
      </c>
      <c r="B75" s="17">
        <f>B66+7</f>
        <v>46141</v>
      </c>
      <c r="C75" s="16" t="s">
        <v>9</v>
      </c>
      <c r="D75" s="16">
        <v>1</v>
      </c>
      <c r="E75" s="16"/>
      <c r="F75" s="16"/>
      <c r="G75" s="16" t="s">
        <v>12</v>
      </c>
      <c r="H75" s="16"/>
      <c r="I75" s="16"/>
      <c r="J75" s="16"/>
    </row>
    <row r="76" spans="1:10" x14ac:dyDescent="0.3">
      <c r="A76" s="16" t="str">
        <f t="shared" si="8"/>
        <v>Round 9</v>
      </c>
      <c r="B76" s="18">
        <f>B75</f>
        <v>46141</v>
      </c>
      <c r="C76" s="16" t="s">
        <v>14</v>
      </c>
      <c r="D76" s="16">
        <v>1</v>
      </c>
      <c r="E76" s="16"/>
      <c r="F76" s="16"/>
      <c r="G76" s="16" t="s">
        <v>12</v>
      </c>
      <c r="H76" s="16"/>
      <c r="I76" s="16"/>
      <c r="J76" s="16"/>
    </row>
    <row r="77" spans="1:10" x14ac:dyDescent="0.3">
      <c r="A77" s="16" t="str">
        <f t="shared" si="8"/>
        <v>Round 9</v>
      </c>
      <c r="B77" s="18">
        <f t="shared" ref="B77:B83" si="10">B76</f>
        <v>46141</v>
      </c>
      <c r="C77" s="16" t="s">
        <v>17</v>
      </c>
      <c r="D77" s="16">
        <v>1</v>
      </c>
      <c r="E77" s="16"/>
      <c r="F77" s="16"/>
      <c r="G77" s="16" t="s">
        <v>12</v>
      </c>
      <c r="H77" s="16"/>
      <c r="I77" s="16"/>
      <c r="J77" s="16"/>
    </row>
    <row r="78" spans="1:10" x14ac:dyDescent="0.3">
      <c r="A78" s="16" t="str">
        <f t="shared" si="8"/>
        <v>Round 9</v>
      </c>
      <c r="B78" s="18">
        <f t="shared" si="10"/>
        <v>46141</v>
      </c>
      <c r="C78" s="16" t="s">
        <v>9</v>
      </c>
      <c r="D78" s="16">
        <v>2</v>
      </c>
      <c r="E78" s="16"/>
      <c r="F78" s="16"/>
      <c r="G78" s="16" t="s">
        <v>12</v>
      </c>
      <c r="H78" s="16"/>
      <c r="I78" s="16"/>
      <c r="J78" s="16"/>
    </row>
    <row r="79" spans="1:10" x14ac:dyDescent="0.3">
      <c r="A79" s="16" t="str">
        <f t="shared" si="8"/>
        <v>Round 9</v>
      </c>
      <c r="B79" s="18">
        <f t="shared" si="10"/>
        <v>46141</v>
      </c>
      <c r="C79" s="16" t="s">
        <v>14</v>
      </c>
      <c r="D79" s="16">
        <v>2</v>
      </c>
      <c r="E79" s="16"/>
      <c r="F79" s="16"/>
      <c r="G79" s="16" t="s">
        <v>12</v>
      </c>
      <c r="H79" s="16"/>
      <c r="I79" s="16"/>
      <c r="J79" s="16"/>
    </row>
    <row r="80" spans="1:10" x14ac:dyDescent="0.3">
      <c r="A80" s="16" t="str">
        <f t="shared" si="8"/>
        <v>Round 9</v>
      </c>
      <c r="B80" s="18">
        <f t="shared" si="10"/>
        <v>46141</v>
      </c>
      <c r="C80" s="16" t="s">
        <v>17</v>
      </c>
      <c r="D80" s="16">
        <v>2</v>
      </c>
      <c r="E80" s="16"/>
      <c r="F80" s="16"/>
      <c r="G80" s="16" t="s">
        <v>12</v>
      </c>
      <c r="H80" s="16"/>
      <c r="I80" s="16"/>
      <c r="J80" s="16"/>
    </row>
    <row r="81" spans="1:10" x14ac:dyDescent="0.3">
      <c r="A81" s="16" t="str">
        <f t="shared" si="8"/>
        <v>Round 9</v>
      </c>
      <c r="B81" s="18">
        <f t="shared" si="10"/>
        <v>46141</v>
      </c>
      <c r="C81" s="16" t="s">
        <v>9</v>
      </c>
      <c r="D81" s="16">
        <v>3</v>
      </c>
      <c r="E81" s="16"/>
      <c r="F81" s="16"/>
      <c r="G81" s="16" t="s">
        <v>12</v>
      </c>
      <c r="H81" s="16"/>
      <c r="I81" s="16"/>
      <c r="J81" s="16"/>
    </row>
    <row r="82" spans="1:10" x14ac:dyDescent="0.3">
      <c r="A82" s="16" t="str">
        <f t="shared" si="8"/>
        <v>Round 9</v>
      </c>
      <c r="B82" s="18">
        <f t="shared" si="10"/>
        <v>46141</v>
      </c>
      <c r="C82" s="16" t="s">
        <v>14</v>
      </c>
      <c r="D82" s="16">
        <v>3</v>
      </c>
      <c r="E82" s="16"/>
      <c r="F82" s="16"/>
      <c r="G82" s="16" t="s">
        <v>12</v>
      </c>
      <c r="H82" s="16"/>
      <c r="I82" s="16"/>
      <c r="J82" s="16"/>
    </row>
    <row r="83" spans="1:10" x14ac:dyDescent="0.3">
      <c r="A83" s="16" t="str">
        <f t="shared" si="8"/>
        <v>Round 9</v>
      </c>
      <c r="B83" s="18">
        <f t="shared" si="10"/>
        <v>46141</v>
      </c>
      <c r="C83" s="16" t="s">
        <v>17</v>
      </c>
      <c r="D83" s="16">
        <v>3</v>
      </c>
      <c r="E83" s="16"/>
      <c r="F83" s="16"/>
      <c r="G83" s="16" t="s">
        <v>12</v>
      </c>
      <c r="H83" s="16"/>
      <c r="I83" s="16"/>
      <c r="J83" s="16"/>
    </row>
    <row r="84" spans="1:10" x14ac:dyDescent="0.3">
      <c r="A84" s="16" t="s">
        <v>36</v>
      </c>
      <c r="B84" s="17">
        <f>B75+7</f>
        <v>46148</v>
      </c>
      <c r="C84" s="16" t="s">
        <v>9</v>
      </c>
      <c r="D84" s="16">
        <v>1</v>
      </c>
      <c r="E84" s="16"/>
      <c r="F84" s="16"/>
      <c r="G84" s="16" t="s">
        <v>12</v>
      </c>
      <c r="H84" s="16"/>
      <c r="I84" s="16"/>
      <c r="J84" s="16"/>
    </row>
    <row r="85" spans="1:10" x14ac:dyDescent="0.3">
      <c r="A85" s="16" t="str">
        <f t="shared" si="8"/>
        <v>Round 10</v>
      </c>
      <c r="B85" s="18">
        <f>B84</f>
        <v>46148</v>
      </c>
      <c r="C85" s="16" t="s">
        <v>14</v>
      </c>
      <c r="D85" s="16">
        <v>1</v>
      </c>
      <c r="E85" s="16"/>
      <c r="F85" s="16"/>
      <c r="G85" s="16" t="s">
        <v>12</v>
      </c>
      <c r="H85" s="16"/>
      <c r="I85" s="16"/>
      <c r="J85" s="16"/>
    </row>
    <row r="86" spans="1:10" x14ac:dyDescent="0.3">
      <c r="A86" s="16" t="str">
        <f t="shared" si="8"/>
        <v>Round 10</v>
      </c>
      <c r="B86" s="18">
        <f t="shared" ref="B86:B92" si="11">B85</f>
        <v>46148</v>
      </c>
      <c r="C86" s="16" t="s">
        <v>17</v>
      </c>
      <c r="D86" s="16">
        <v>1</v>
      </c>
      <c r="E86" s="16"/>
      <c r="F86" s="16"/>
      <c r="G86" s="16" t="s">
        <v>12</v>
      </c>
      <c r="H86" s="16"/>
      <c r="I86" s="16"/>
      <c r="J86" s="16"/>
    </row>
    <row r="87" spans="1:10" x14ac:dyDescent="0.3">
      <c r="A87" s="16" t="str">
        <f t="shared" si="8"/>
        <v>Round 10</v>
      </c>
      <c r="B87" s="18">
        <f t="shared" si="11"/>
        <v>46148</v>
      </c>
      <c r="C87" s="16" t="s">
        <v>9</v>
      </c>
      <c r="D87" s="16">
        <v>2</v>
      </c>
      <c r="E87" s="16"/>
      <c r="F87" s="16"/>
      <c r="G87" s="16" t="s">
        <v>12</v>
      </c>
      <c r="H87" s="16"/>
      <c r="I87" s="16"/>
      <c r="J87" s="16"/>
    </row>
    <row r="88" spans="1:10" x14ac:dyDescent="0.3">
      <c r="A88" s="16" t="str">
        <f t="shared" si="8"/>
        <v>Round 10</v>
      </c>
      <c r="B88" s="18">
        <f t="shared" si="11"/>
        <v>46148</v>
      </c>
      <c r="C88" s="16" t="s">
        <v>14</v>
      </c>
      <c r="D88" s="16">
        <v>2</v>
      </c>
      <c r="E88" s="16"/>
      <c r="F88" s="16"/>
      <c r="G88" s="16" t="s">
        <v>12</v>
      </c>
      <c r="H88" s="16"/>
      <c r="I88" s="16"/>
      <c r="J88" s="16"/>
    </row>
    <row r="89" spans="1:10" x14ac:dyDescent="0.3">
      <c r="A89" s="16" t="str">
        <f t="shared" si="8"/>
        <v>Round 10</v>
      </c>
      <c r="B89" s="18">
        <f t="shared" si="11"/>
        <v>46148</v>
      </c>
      <c r="C89" s="16" t="s">
        <v>17</v>
      </c>
      <c r="D89" s="16">
        <v>2</v>
      </c>
      <c r="E89" s="16"/>
      <c r="F89" s="16"/>
      <c r="G89" s="16" t="s">
        <v>12</v>
      </c>
      <c r="H89" s="16"/>
      <c r="I89" s="16"/>
      <c r="J89" s="16"/>
    </row>
    <row r="90" spans="1:10" x14ac:dyDescent="0.3">
      <c r="A90" s="16" t="str">
        <f t="shared" si="8"/>
        <v>Round 10</v>
      </c>
      <c r="B90" s="18">
        <f t="shared" si="11"/>
        <v>46148</v>
      </c>
      <c r="C90" s="16" t="s">
        <v>9</v>
      </c>
      <c r="D90" s="16">
        <v>3</v>
      </c>
      <c r="E90" s="16"/>
      <c r="F90" s="16"/>
      <c r="G90" s="16" t="s">
        <v>12</v>
      </c>
      <c r="H90" s="16"/>
      <c r="I90" s="16"/>
      <c r="J90" s="16"/>
    </row>
    <row r="91" spans="1:10" x14ac:dyDescent="0.3">
      <c r="A91" s="16" t="str">
        <f t="shared" si="8"/>
        <v>Round 10</v>
      </c>
      <c r="B91" s="18">
        <f t="shared" si="11"/>
        <v>46148</v>
      </c>
      <c r="C91" s="16" t="s">
        <v>14</v>
      </c>
      <c r="D91" s="16">
        <v>3</v>
      </c>
      <c r="E91" s="16"/>
      <c r="F91" s="16"/>
      <c r="G91" s="16" t="s">
        <v>12</v>
      </c>
      <c r="H91" s="16"/>
      <c r="I91" s="16"/>
      <c r="J91" s="16"/>
    </row>
    <row r="92" spans="1:10" x14ac:dyDescent="0.3">
      <c r="A92" s="16" t="str">
        <f t="shared" si="8"/>
        <v>Round 10</v>
      </c>
      <c r="B92" s="18">
        <f t="shared" si="11"/>
        <v>46148</v>
      </c>
      <c r="C92" s="16" t="s">
        <v>17</v>
      </c>
      <c r="D92" s="16">
        <v>3</v>
      </c>
      <c r="E92" s="16"/>
      <c r="F92" s="16"/>
      <c r="G92" s="16" t="s">
        <v>12</v>
      </c>
      <c r="H92" s="16"/>
      <c r="I92" s="16"/>
      <c r="J92" s="16"/>
    </row>
    <row r="93" spans="1:10" x14ac:dyDescent="0.3">
      <c r="A93" s="16" t="s">
        <v>37</v>
      </c>
      <c r="B93" s="17">
        <f>B84+7</f>
        <v>46155</v>
      </c>
      <c r="C93" s="16" t="s">
        <v>9</v>
      </c>
      <c r="D93" s="16">
        <v>1</v>
      </c>
      <c r="E93" s="16"/>
      <c r="F93" s="16"/>
      <c r="G93" s="16" t="s">
        <v>12</v>
      </c>
      <c r="H93" s="16"/>
      <c r="I93" s="16"/>
      <c r="J93" s="16"/>
    </row>
    <row r="94" spans="1:10" x14ac:dyDescent="0.3">
      <c r="A94" s="16" t="str">
        <f t="shared" si="8"/>
        <v>Round 11</v>
      </c>
      <c r="B94" s="18">
        <f>B93</f>
        <v>46155</v>
      </c>
      <c r="C94" s="16" t="s">
        <v>14</v>
      </c>
      <c r="D94" s="16">
        <v>1</v>
      </c>
      <c r="E94" s="16"/>
      <c r="F94" s="16"/>
      <c r="G94" s="16" t="s">
        <v>12</v>
      </c>
      <c r="H94" s="16"/>
      <c r="I94" s="16"/>
      <c r="J94" s="16"/>
    </row>
    <row r="95" spans="1:10" x14ac:dyDescent="0.3">
      <c r="A95" s="16" t="str">
        <f t="shared" si="8"/>
        <v>Round 11</v>
      </c>
      <c r="B95" s="18">
        <f t="shared" ref="B95:B101" si="12">B94</f>
        <v>46155</v>
      </c>
      <c r="C95" s="16" t="s">
        <v>17</v>
      </c>
      <c r="D95" s="16">
        <v>1</v>
      </c>
      <c r="E95" s="16"/>
      <c r="F95" s="16"/>
      <c r="G95" s="16" t="s">
        <v>12</v>
      </c>
      <c r="H95" s="16"/>
      <c r="I95" s="16"/>
      <c r="J95" s="16"/>
    </row>
    <row r="96" spans="1:10" x14ac:dyDescent="0.3">
      <c r="A96" s="16" t="str">
        <f t="shared" si="8"/>
        <v>Round 11</v>
      </c>
      <c r="B96" s="18">
        <f t="shared" si="12"/>
        <v>46155</v>
      </c>
      <c r="C96" s="16" t="s">
        <v>9</v>
      </c>
      <c r="D96" s="16">
        <v>2</v>
      </c>
      <c r="E96" s="16"/>
      <c r="F96" s="16"/>
      <c r="G96" s="16" t="s">
        <v>12</v>
      </c>
      <c r="H96" s="16"/>
      <c r="I96" s="16"/>
      <c r="J96" s="16"/>
    </row>
    <row r="97" spans="1:10" x14ac:dyDescent="0.3">
      <c r="A97" s="16" t="str">
        <f t="shared" si="8"/>
        <v>Round 11</v>
      </c>
      <c r="B97" s="18">
        <f t="shared" si="12"/>
        <v>46155</v>
      </c>
      <c r="C97" s="16" t="s">
        <v>14</v>
      </c>
      <c r="D97" s="16">
        <v>2</v>
      </c>
      <c r="E97" s="16"/>
      <c r="F97" s="16"/>
      <c r="G97" s="16" t="s">
        <v>12</v>
      </c>
      <c r="H97" s="16"/>
      <c r="I97" s="16"/>
      <c r="J97" s="16"/>
    </row>
    <row r="98" spans="1:10" x14ac:dyDescent="0.3">
      <c r="A98" s="16" t="str">
        <f t="shared" si="8"/>
        <v>Round 11</v>
      </c>
      <c r="B98" s="18">
        <f t="shared" si="12"/>
        <v>46155</v>
      </c>
      <c r="C98" s="16" t="s">
        <v>17</v>
      </c>
      <c r="D98" s="16">
        <v>2</v>
      </c>
      <c r="E98" s="16"/>
      <c r="F98" s="16"/>
      <c r="G98" s="16" t="s">
        <v>12</v>
      </c>
      <c r="H98" s="16"/>
      <c r="I98" s="16"/>
      <c r="J98" s="16"/>
    </row>
    <row r="99" spans="1:10" x14ac:dyDescent="0.3">
      <c r="A99" s="16" t="str">
        <f t="shared" si="8"/>
        <v>Round 11</v>
      </c>
      <c r="B99" s="18">
        <f t="shared" si="12"/>
        <v>46155</v>
      </c>
      <c r="C99" s="16" t="s">
        <v>9</v>
      </c>
      <c r="D99" s="16">
        <v>3</v>
      </c>
      <c r="E99" s="16"/>
      <c r="F99" s="16"/>
      <c r="G99" s="16" t="s">
        <v>12</v>
      </c>
      <c r="H99" s="16"/>
      <c r="I99" s="16"/>
      <c r="J99" s="16"/>
    </row>
    <row r="100" spans="1:10" x14ac:dyDescent="0.3">
      <c r="A100" s="16" t="str">
        <f t="shared" si="8"/>
        <v>Round 11</v>
      </c>
      <c r="B100" s="18">
        <f t="shared" si="12"/>
        <v>46155</v>
      </c>
      <c r="C100" s="16" t="s">
        <v>14</v>
      </c>
      <c r="D100" s="16">
        <v>3</v>
      </c>
      <c r="E100" s="16"/>
      <c r="F100" s="16"/>
      <c r="G100" s="16" t="s">
        <v>12</v>
      </c>
      <c r="H100" s="16"/>
      <c r="I100" s="16"/>
      <c r="J100" s="16"/>
    </row>
    <row r="101" spans="1:10" x14ac:dyDescent="0.3">
      <c r="A101" s="16" t="str">
        <f t="shared" si="8"/>
        <v>Round 11</v>
      </c>
      <c r="B101" s="18">
        <f t="shared" si="12"/>
        <v>46155</v>
      </c>
      <c r="C101" s="16" t="s">
        <v>17</v>
      </c>
      <c r="D101" s="16">
        <v>3</v>
      </c>
      <c r="E101" s="16"/>
      <c r="F101" s="16"/>
      <c r="G101" s="16" t="s">
        <v>12</v>
      </c>
      <c r="H101" s="16"/>
      <c r="I101" s="16"/>
      <c r="J101" s="16"/>
    </row>
    <row r="102" spans="1:10" x14ac:dyDescent="0.3">
      <c r="A102" s="16" t="s">
        <v>38</v>
      </c>
      <c r="B102" s="17">
        <f>B93+7</f>
        <v>46162</v>
      </c>
      <c r="C102" s="16" t="s">
        <v>9</v>
      </c>
      <c r="D102" s="16">
        <v>1</v>
      </c>
      <c r="E102" s="16"/>
      <c r="F102" s="16"/>
      <c r="G102" s="16" t="s">
        <v>12</v>
      </c>
      <c r="H102" s="16"/>
      <c r="I102" s="16"/>
      <c r="J102" s="16"/>
    </row>
    <row r="103" spans="1:10" x14ac:dyDescent="0.3">
      <c r="A103" s="16" t="str">
        <f t="shared" si="8"/>
        <v>Round 12</v>
      </c>
      <c r="B103" s="18">
        <f>B102</f>
        <v>46162</v>
      </c>
      <c r="C103" s="16" t="s">
        <v>14</v>
      </c>
      <c r="D103" s="16">
        <v>1</v>
      </c>
      <c r="E103" s="16"/>
      <c r="F103" s="16"/>
      <c r="G103" s="16" t="s">
        <v>12</v>
      </c>
      <c r="H103" s="16"/>
      <c r="I103" s="16"/>
      <c r="J103" s="16"/>
    </row>
    <row r="104" spans="1:10" x14ac:dyDescent="0.3">
      <c r="A104" s="16" t="str">
        <f t="shared" si="8"/>
        <v>Round 12</v>
      </c>
      <c r="B104" s="18">
        <f t="shared" ref="B104:B110" si="13">B103</f>
        <v>46162</v>
      </c>
      <c r="C104" s="16" t="s">
        <v>17</v>
      </c>
      <c r="D104" s="16">
        <v>1</v>
      </c>
      <c r="E104" s="16"/>
      <c r="F104" s="16"/>
      <c r="G104" s="16" t="s">
        <v>12</v>
      </c>
      <c r="H104" s="16"/>
      <c r="I104" s="16"/>
      <c r="J104" s="16"/>
    </row>
    <row r="105" spans="1:10" x14ac:dyDescent="0.3">
      <c r="A105" s="16" t="str">
        <f t="shared" si="8"/>
        <v>Round 12</v>
      </c>
      <c r="B105" s="18">
        <f t="shared" si="13"/>
        <v>46162</v>
      </c>
      <c r="C105" s="16" t="s">
        <v>9</v>
      </c>
      <c r="D105" s="16">
        <v>2</v>
      </c>
      <c r="E105" s="16"/>
      <c r="F105" s="16"/>
      <c r="G105" s="16" t="s">
        <v>12</v>
      </c>
      <c r="H105" s="16"/>
      <c r="I105" s="16"/>
      <c r="J105" s="16"/>
    </row>
    <row r="106" spans="1:10" x14ac:dyDescent="0.3">
      <c r="A106" s="16" t="str">
        <f t="shared" si="8"/>
        <v>Round 12</v>
      </c>
      <c r="B106" s="18">
        <f t="shared" si="13"/>
        <v>46162</v>
      </c>
      <c r="C106" s="16" t="s">
        <v>14</v>
      </c>
      <c r="D106" s="16">
        <v>2</v>
      </c>
      <c r="E106" s="16"/>
      <c r="F106" s="16"/>
      <c r="G106" s="16" t="s">
        <v>12</v>
      </c>
      <c r="H106" s="16"/>
      <c r="I106" s="16"/>
      <c r="J106" s="16"/>
    </row>
    <row r="107" spans="1:10" x14ac:dyDescent="0.3">
      <c r="A107" s="16" t="str">
        <f t="shared" si="8"/>
        <v>Round 12</v>
      </c>
      <c r="B107" s="18">
        <f t="shared" si="13"/>
        <v>46162</v>
      </c>
      <c r="C107" s="16" t="s">
        <v>17</v>
      </c>
      <c r="D107" s="16">
        <v>2</v>
      </c>
      <c r="E107" s="16"/>
      <c r="F107" s="16"/>
      <c r="G107" s="16" t="s">
        <v>12</v>
      </c>
      <c r="H107" s="16"/>
      <c r="I107" s="16"/>
      <c r="J107" s="16"/>
    </row>
    <row r="108" spans="1:10" x14ac:dyDescent="0.3">
      <c r="A108" s="16" t="str">
        <f t="shared" si="8"/>
        <v>Round 12</v>
      </c>
      <c r="B108" s="18">
        <f t="shared" si="13"/>
        <v>46162</v>
      </c>
      <c r="C108" s="16" t="s">
        <v>9</v>
      </c>
      <c r="D108" s="16">
        <v>3</v>
      </c>
      <c r="E108" s="16"/>
      <c r="F108" s="16"/>
      <c r="G108" s="16" t="s">
        <v>12</v>
      </c>
      <c r="H108" s="16"/>
      <c r="I108" s="16"/>
      <c r="J108" s="16"/>
    </row>
    <row r="109" spans="1:10" x14ac:dyDescent="0.3">
      <c r="A109" s="16" t="str">
        <f t="shared" si="8"/>
        <v>Round 12</v>
      </c>
      <c r="B109" s="18">
        <f t="shared" si="13"/>
        <v>46162</v>
      </c>
      <c r="C109" s="16" t="s">
        <v>14</v>
      </c>
      <c r="D109" s="16">
        <v>3</v>
      </c>
      <c r="E109" s="16"/>
      <c r="F109" s="16"/>
      <c r="G109" s="16" t="s">
        <v>12</v>
      </c>
      <c r="H109" s="16"/>
      <c r="I109" s="16"/>
      <c r="J109" s="16"/>
    </row>
    <row r="110" spans="1:10" x14ac:dyDescent="0.3">
      <c r="A110" s="16" t="str">
        <f t="shared" si="8"/>
        <v>Round 12</v>
      </c>
      <c r="B110" s="18">
        <f t="shared" si="13"/>
        <v>46162</v>
      </c>
      <c r="C110" s="16" t="s">
        <v>17</v>
      </c>
      <c r="D110" s="16">
        <v>3</v>
      </c>
      <c r="E110" s="16"/>
      <c r="F110" s="16"/>
      <c r="G110" s="16" t="s">
        <v>12</v>
      </c>
      <c r="H110" s="16"/>
      <c r="I110" s="16"/>
      <c r="J110" s="16"/>
    </row>
    <row r="111" spans="1:10" x14ac:dyDescent="0.3">
      <c r="A111" s="16" t="s">
        <v>39</v>
      </c>
      <c r="B111" s="17">
        <f>B102+7</f>
        <v>46169</v>
      </c>
      <c r="C111" s="16" t="s">
        <v>9</v>
      </c>
      <c r="D111" s="16">
        <v>1</v>
      </c>
      <c r="E111" s="16"/>
      <c r="F111" s="16"/>
      <c r="G111" s="16" t="s">
        <v>12</v>
      </c>
      <c r="H111" s="16"/>
      <c r="I111" s="16"/>
      <c r="J111" s="16"/>
    </row>
    <row r="112" spans="1:10" x14ac:dyDescent="0.3">
      <c r="A112" s="16" t="str">
        <f t="shared" si="8"/>
        <v>Round 13</v>
      </c>
      <c r="B112" s="18">
        <f>B111</f>
        <v>46169</v>
      </c>
      <c r="C112" s="16" t="s">
        <v>14</v>
      </c>
      <c r="D112" s="16">
        <v>1</v>
      </c>
      <c r="E112" s="16"/>
      <c r="F112" s="16"/>
      <c r="G112" s="16" t="s">
        <v>12</v>
      </c>
      <c r="H112" s="16"/>
      <c r="I112" s="16"/>
      <c r="J112" s="16"/>
    </row>
    <row r="113" spans="1:10" x14ac:dyDescent="0.3">
      <c r="A113" s="16" t="str">
        <f t="shared" si="8"/>
        <v>Round 13</v>
      </c>
      <c r="B113" s="18">
        <f t="shared" ref="B113:B119" si="14">B112</f>
        <v>46169</v>
      </c>
      <c r="C113" s="16" t="s">
        <v>17</v>
      </c>
      <c r="D113" s="16">
        <v>1</v>
      </c>
      <c r="E113" s="16"/>
      <c r="F113" s="16"/>
      <c r="G113" s="16" t="s">
        <v>12</v>
      </c>
      <c r="H113" s="16"/>
      <c r="I113" s="16"/>
      <c r="J113" s="16"/>
    </row>
    <row r="114" spans="1:10" x14ac:dyDescent="0.3">
      <c r="A114" s="16" t="str">
        <f t="shared" si="8"/>
        <v>Round 13</v>
      </c>
      <c r="B114" s="18">
        <f t="shared" si="14"/>
        <v>46169</v>
      </c>
      <c r="C114" s="16" t="s">
        <v>9</v>
      </c>
      <c r="D114" s="16">
        <v>2</v>
      </c>
      <c r="E114" s="16"/>
      <c r="F114" s="16"/>
      <c r="G114" s="16" t="s">
        <v>12</v>
      </c>
      <c r="H114" s="16"/>
      <c r="I114" s="16"/>
      <c r="J114" s="16"/>
    </row>
    <row r="115" spans="1:10" x14ac:dyDescent="0.3">
      <c r="A115" s="16" t="str">
        <f t="shared" si="8"/>
        <v>Round 13</v>
      </c>
      <c r="B115" s="18">
        <f t="shared" si="14"/>
        <v>46169</v>
      </c>
      <c r="C115" s="16" t="s">
        <v>14</v>
      </c>
      <c r="D115" s="16">
        <v>2</v>
      </c>
      <c r="E115" s="16"/>
      <c r="F115" s="16"/>
      <c r="G115" s="16" t="s">
        <v>12</v>
      </c>
      <c r="H115" s="16"/>
      <c r="I115" s="16"/>
      <c r="J115" s="16"/>
    </row>
    <row r="116" spans="1:10" x14ac:dyDescent="0.3">
      <c r="A116" s="16" t="str">
        <f t="shared" si="8"/>
        <v>Round 13</v>
      </c>
      <c r="B116" s="18">
        <f t="shared" si="14"/>
        <v>46169</v>
      </c>
      <c r="C116" s="16" t="s">
        <v>17</v>
      </c>
      <c r="D116" s="16">
        <v>2</v>
      </c>
      <c r="E116" s="16"/>
      <c r="F116" s="16"/>
      <c r="G116" s="16" t="s">
        <v>12</v>
      </c>
      <c r="H116" s="16"/>
      <c r="I116" s="16"/>
      <c r="J116" s="16"/>
    </row>
    <row r="117" spans="1:10" x14ac:dyDescent="0.3">
      <c r="A117" s="16" t="str">
        <f t="shared" si="8"/>
        <v>Round 13</v>
      </c>
      <c r="B117" s="18">
        <f t="shared" si="14"/>
        <v>46169</v>
      </c>
      <c r="C117" s="16" t="s">
        <v>9</v>
      </c>
      <c r="D117" s="16">
        <v>3</v>
      </c>
      <c r="E117" s="16"/>
      <c r="F117" s="16"/>
      <c r="G117" s="16" t="s">
        <v>12</v>
      </c>
      <c r="H117" s="16"/>
      <c r="I117" s="16"/>
      <c r="J117" s="16"/>
    </row>
    <row r="118" spans="1:10" x14ac:dyDescent="0.3">
      <c r="A118" s="16" t="str">
        <f t="shared" si="8"/>
        <v>Round 13</v>
      </c>
      <c r="B118" s="18">
        <f t="shared" si="14"/>
        <v>46169</v>
      </c>
      <c r="C118" s="16" t="s">
        <v>14</v>
      </c>
      <c r="D118" s="16">
        <v>3</v>
      </c>
      <c r="E118" s="16"/>
      <c r="F118" s="16"/>
      <c r="G118" s="16" t="s">
        <v>12</v>
      </c>
      <c r="H118" s="16"/>
      <c r="I118" s="16"/>
      <c r="J118" s="16"/>
    </row>
    <row r="119" spans="1:10" x14ac:dyDescent="0.3">
      <c r="A119" s="16" t="str">
        <f t="shared" si="8"/>
        <v>Round 13</v>
      </c>
      <c r="B119" s="18">
        <f t="shared" si="14"/>
        <v>46169</v>
      </c>
      <c r="C119" s="16" t="s">
        <v>17</v>
      </c>
      <c r="D119" s="16">
        <v>3</v>
      </c>
      <c r="E119" s="16"/>
      <c r="F119" s="16"/>
      <c r="G119" s="16" t="s">
        <v>12</v>
      </c>
      <c r="H119" s="16"/>
      <c r="I119" s="16"/>
      <c r="J119" s="16"/>
    </row>
    <row r="120" spans="1:10" x14ac:dyDescent="0.3">
      <c r="A120" s="16" t="s">
        <v>40</v>
      </c>
      <c r="B120" s="17">
        <f>B111+7</f>
        <v>46176</v>
      </c>
      <c r="C120" s="16" t="s">
        <v>9</v>
      </c>
      <c r="D120" s="16">
        <v>1</v>
      </c>
      <c r="E120" s="16"/>
      <c r="F120" s="16"/>
      <c r="G120" s="16" t="s">
        <v>12</v>
      </c>
      <c r="H120" s="16"/>
      <c r="I120" s="16"/>
      <c r="J120" s="16"/>
    </row>
    <row r="121" spans="1:10" x14ac:dyDescent="0.3">
      <c r="A121" s="16" t="str">
        <f t="shared" si="8"/>
        <v>Round 14</v>
      </c>
      <c r="B121" s="18">
        <f>B120</f>
        <v>46176</v>
      </c>
      <c r="C121" s="16" t="s">
        <v>14</v>
      </c>
      <c r="D121" s="16">
        <v>1</v>
      </c>
      <c r="E121" s="16"/>
      <c r="F121" s="16"/>
      <c r="G121" s="16" t="s">
        <v>12</v>
      </c>
      <c r="H121" s="16"/>
      <c r="I121" s="16"/>
      <c r="J121" s="16"/>
    </row>
    <row r="122" spans="1:10" x14ac:dyDescent="0.3">
      <c r="A122" s="16" t="str">
        <f t="shared" si="8"/>
        <v>Round 14</v>
      </c>
      <c r="B122" s="18">
        <f t="shared" ref="B122:B128" si="15">B121</f>
        <v>46176</v>
      </c>
      <c r="C122" s="16" t="s">
        <v>17</v>
      </c>
      <c r="D122" s="16">
        <v>1</v>
      </c>
      <c r="E122" s="16"/>
      <c r="F122" s="16"/>
      <c r="G122" s="16" t="s">
        <v>12</v>
      </c>
      <c r="H122" s="16"/>
      <c r="I122" s="16"/>
      <c r="J122" s="16"/>
    </row>
    <row r="123" spans="1:10" x14ac:dyDescent="0.3">
      <c r="A123" s="16" t="str">
        <f t="shared" si="8"/>
        <v>Round 14</v>
      </c>
      <c r="B123" s="18">
        <f t="shared" si="15"/>
        <v>46176</v>
      </c>
      <c r="C123" s="16" t="s">
        <v>9</v>
      </c>
      <c r="D123" s="16">
        <v>2</v>
      </c>
      <c r="E123" s="16"/>
      <c r="F123" s="16"/>
      <c r="G123" s="16" t="s">
        <v>12</v>
      </c>
      <c r="H123" s="16"/>
      <c r="I123" s="16"/>
      <c r="J123" s="16"/>
    </row>
    <row r="124" spans="1:10" x14ac:dyDescent="0.3">
      <c r="A124" s="16" t="str">
        <f t="shared" si="8"/>
        <v>Round 14</v>
      </c>
      <c r="B124" s="18">
        <f t="shared" si="15"/>
        <v>46176</v>
      </c>
      <c r="C124" s="16" t="s">
        <v>14</v>
      </c>
      <c r="D124" s="16">
        <v>2</v>
      </c>
      <c r="E124" s="16"/>
      <c r="F124" s="16"/>
      <c r="G124" s="16" t="s">
        <v>12</v>
      </c>
      <c r="H124" s="16"/>
      <c r="I124" s="16"/>
      <c r="J124" s="16"/>
    </row>
    <row r="125" spans="1:10" x14ac:dyDescent="0.3">
      <c r="A125" s="16" t="str">
        <f t="shared" si="8"/>
        <v>Round 14</v>
      </c>
      <c r="B125" s="18">
        <f t="shared" si="15"/>
        <v>46176</v>
      </c>
      <c r="C125" s="16" t="s">
        <v>17</v>
      </c>
      <c r="D125" s="16">
        <v>2</v>
      </c>
      <c r="E125" s="16"/>
      <c r="F125" s="16"/>
      <c r="G125" s="16" t="s">
        <v>12</v>
      </c>
      <c r="H125" s="16"/>
      <c r="I125" s="16"/>
      <c r="J125" s="16"/>
    </row>
    <row r="126" spans="1:10" x14ac:dyDescent="0.3">
      <c r="A126" s="16" t="str">
        <f t="shared" si="8"/>
        <v>Round 14</v>
      </c>
      <c r="B126" s="18">
        <f t="shared" si="15"/>
        <v>46176</v>
      </c>
      <c r="C126" s="16" t="s">
        <v>9</v>
      </c>
      <c r="D126" s="16">
        <v>3</v>
      </c>
      <c r="E126" s="16"/>
      <c r="F126" s="16"/>
      <c r="G126" s="16" t="s">
        <v>12</v>
      </c>
      <c r="H126" s="16"/>
      <c r="I126" s="16"/>
      <c r="J126" s="16"/>
    </row>
    <row r="127" spans="1:10" x14ac:dyDescent="0.3">
      <c r="A127" s="16" t="str">
        <f t="shared" si="8"/>
        <v>Round 14</v>
      </c>
      <c r="B127" s="18">
        <f t="shared" si="15"/>
        <v>46176</v>
      </c>
      <c r="C127" s="16" t="s">
        <v>14</v>
      </c>
      <c r="D127" s="16">
        <v>3</v>
      </c>
      <c r="E127" s="16"/>
      <c r="F127" s="16"/>
      <c r="G127" s="16" t="s">
        <v>12</v>
      </c>
      <c r="H127" s="16"/>
      <c r="I127" s="16"/>
      <c r="J127" s="16"/>
    </row>
    <row r="128" spans="1:10" x14ac:dyDescent="0.3">
      <c r="A128" s="16" t="str">
        <f t="shared" si="8"/>
        <v>Round 14</v>
      </c>
      <c r="B128" s="18">
        <f t="shared" si="15"/>
        <v>46176</v>
      </c>
      <c r="C128" s="16" t="s">
        <v>9</v>
      </c>
      <c r="D128" s="16">
        <v>3</v>
      </c>
      <c r="E128" s="16"/>
      <c r="F128" s="16"/>
      <c r="G128" s="16" t="s">
        <v>12</v>
      </c>
      <c r="H128" s="16"/>
      <c r="I128" s="16"/>
      <c r="J128" s="16"/>
    </row>
    <row r="129" spans="1:10" x14ac:dyDescent="0.3">
      <c r="A129" s="16" t="s">
        <v>62</v>
      </c>
      <c r="B129" s="9">
        <f>B120+7</f>
        <v>46183</v>
      </c>
      <c r="C129" s="16" t="s">
        <v>9</v>
      </c>
      <c r="D129" s="16">
        <v>1</v>
      </c>
      <c r="E129" s="16"/>
      <c r="F129" s="16"/>
      <c r="G129" s="16" t="s">
        <v>12</v>
      </c>
      <c r="H129" s="16"/>
      <c r="I129" s="16"/>
      <c r="J129" s="16"/>
    </row>
    <row r="130" spans="1:10" x14ac:dyDescent="0.3">
      <c r="A130" s="16" t="str">
        <f t="shared" si="8"/>
        <v>Semi Final</v>
      </c>
      <c r="B130" s="9">
        <f>B129</f>
        <v>46183</v>
      </c>
      <c r="C130" s="16" t="s">
        <v>9</v>
      </c>
      <c r="D130" s="16">
        <v>1</v>
      </c>
      <c r="E130" s="16"/>
      <c r="F130" s="16"/>
      <c r="G130" s="16" t="s">
        <v>12</v>
      </c>
      <c r="H130" s="16"/>
      <c r="I130" s="16"/>
      <c r="J130" s="16"/>
    </row>
    <row r="131" spans="1:10" x14ac:dyDescent="0.3">
      <c r="A131" s="16" t="str">
        <f t="shared" ref="A131:A132" si="16">A130</f>
        <v>Semi Final</v>
      </c>
      <c r="B131" s="9">
        <f t="shared" ref="B131:B132" si="17">B130</f>
        <v>46183</v>
      </c>
      <c r="C131" s="16" t="s">
        <v>14</v>
      </c>
      <c r="D131" s="16">
        <v>2</v>
      </c>
      <c r="E131" s="16"/>
      <c r="F131" s="16"/>
      <c r="G131" s="16" t="s">
        <v>12</v>
      </c>
      <c r="H131" s="16"/>
      <c r="I131" s="16"/>
      <c r="J131" s="16"/>
    </row>
    <row r="132" spans="1:10" x14ac:dyDescent="0.3">
      <c r="A132" s="16" t="str">
        <f t="shared" si="16"/>
        <v>Semi Final</v>
      </c>
      <c r="B132" s="9">
        <f t="shared" si="17"/>
        <v>46183</v>
      </c>
      <c r="C132" s="16" t="s">
        <v>14</v>
      </c>
      <c r="D132" s="16">
        <v>2</v>
      </c>
      <c r="E132" s="16"/>
      <c r="F132" s="16"/>
      <c r="G132" s="16" t="s">
        <v>12</v>
      </c>
      <c r="H132" s="16"/>
      <c r="I132" s="16"/>
      <c r="J132" s="16"/>
    </row>
    <row r="133" spans="1:10" x14ac:dyDescent="0.3">
      <c r="A133" s="16" t="s">
        <v>43</v>
      </c>
      <c r="B133" s="9">
        <f>B129+7</f>
        <v>46190</v>
      </c>
      <c r="C133" s="16" t="s">
        <v>14</v>
      </c>
      <c r="D133" s="16">
        <v>1</v>
      </c>
      <c r="E133" s="16"/>
      <c r="F133" s="16"/>
      <c r="G133" s="16" t="s">
        <v>12</v>
      </c>
      <c r="H133" s="16"/>
      <c r="I133" s="16"/>
      <c r="J133" s="16"/>
    </row>
    <row r="134" spans="1:10" x14ac:dyDescent="0.3">
      <c r="A134" s="16" t="str">
        <f>A133</f>
        <v>Grand Final</v>
      </c>
      <c r="B134" s="9">
        <f>B133</f>
        <v>46190</v>
      </c>
      <c r="C134" s="16" t="s">
        <v>14</v>
      </c>
      <c r="D134" s="16">
        <v>2</v>
      </c>
      <c r="E134" s="16"/>
      <c r="F134" s="16"/>
      <c r="G134" s="16" t="s">
        <v>12</v>
      </c>
      <c r="H134" s="16"/>
      <c r="I134" s="16"/>
      <c r="J134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267E-F470-46D3-A020-39703CC56521}">
  <dimension ref="A1:L76"/>
  <sheetViews>
    <sheetView topLeftCell="A14" workbookViewId="0">
      <selection activeCell="L31" sqref="L31"/>
    </sheetView>
  </sheetViews>
  <sheetFormatPr defaultRowHeight="14.4" x14ac:dyDescent="0.3"/>
  <cols>
    <col min="1" max="1" width="12.33203125" customWidth="1"/>
    <col min="2" max="2" width="10.5546875" bestFit="1" customWidth="1"/>
    <col min="3" max="3" width="8.88671875" style="29"/>
    <col min="5" max="5" width="11.77734375" customWidth="1"/>
  </cols>
  <sheetData>
    <row r="1" spans="1:10" x14ac:dyDescent="0.3">
      <c r="A1" s="15" t="s">
        <v>60</v>
      </c>
      <c r="B1" s="15" t="s">
        <v>0</v>
      </c>
      <c r="C1" s="25" t="s">
        <v>1</v>
      </c>
      <c r="D1" s="15" t="s">
        <v>2</v>
      </c>
      <c r="E1" s="15" t="s">
        <v>3</v>
      </c>
      <c r="F1" s="15" t="s">
        <v>4</v>
      </c>
      <c r="G1" s="15"/>
      <c r="H1" s="15" t="s">
        <v>5</v>
      </c>
      <c r="I1" s="15" t="s">
        <v>6</v>
      </c>
      <c r="J1" s="15" t="s">
        <v>7</v>
      </c>
    </row>
    <row r="2" spans="1:10" x14ac:dyDescent="0.3">
      <c r="A2" s="16" t="s">
        <v>8</v>
      </c>
      <c r="B2" s="17">
        <v>46072</v>
      </c>
      <c r="C2" s="26" t="s">
        <v>9</v>
      </c>
      <c r="D2" s="16">
        <v>1</v>
      </c>
      <c r="E2" s="16" t="str">
        <f>F2</f>
        <v>G1</v>
      </c>
      <c r="F2" s="7" t="s">
        <v>51</v>
      </c>
      <c r="G2" s="7" t="s">
        <v>12</v>
      </c>
      <c r="H2" s="7" t="s">
        <v>47</v>
      </c>
      <c r="I2" s="16" t="str">
        <f>F3</f>
        <v>G2</v>
      </c>
      <c r="J2" s="16"/>
    </row>
    <row r="3" spans="1:10" x14ac:dyDescent="0.3">
      <c r="A3" s="16" t="str">
        <f>A2</f>
        <v>Round 1</v>
      </c>
      <c r="B3" s="18">
        <f>B2</f>
        <v>46072</v>
      </c>
      <c r="C3" s="26" t="s">
        <v>14</v>
      </c>
      <c r="D3" s="16">
        <v>1</v>
      </c>
      <c r="E3" s="16"/>
      <c r="F3" s="7" t="s">
        <v>45</v>
      </c>
      <c r="G3" s="7" t="s">
        <v>12</v>
      </c>
      <c r="H3" s="7" t="s">
        <v>46</v>
      </c>
      <c r="I3" s="16" t="str">
        <f>H2</f>
        <v>G5</v>
      </c>
      <c r="J3" s="16" t="str">
        <f>H3</f>
        <v>G6</v>
      </c>
    </row>
    <row r="4" spans="1:10" x14ac:dyDescent="0.3">
      <c r="A4" s="16" t="str">
        <f t="shared" ref="A4:B31" si="0">A3</f>
        <v>Round 1</v>
      </c>
      <c r="B4" s="18">
        <f t="shared" si="0"/>
        <v>46072</v>
      </c>
      <c r="C4" s="26" t="s">
        <v>9</v>
      </c>
      <c r="D4" s="16">
        <v>2</v>
      </c>
      <c r="E4" s="16" t="str">
        <f>F4</f>
        <v>G4</v>
      </c>
      <c r="F4" s="7" t="s">
        <v>49</v>
      </c>
      <c r="G4" s="7" t="s">
        <v>12</v>
      </c>
      <c r="H4" s="7" t="s">
        <v>52</v>
      </c>
      <c r="I4" s="16" t="str">
        <f>F5</f>
        <v>G7</v>
      </c>
      <c r="J4" s="16"/>
    </row>
    <row r="5" spans="1:10" x14ac:dyDescent="0.3">
      <c r="A5" s="16" t="str">
        <f>A4</f>
        <v>Round 1</v>
      </c>
      <c r="B5" s="18">
        <f>B4</f>
        <v>46072</v>
      </c>
      <c r="C5" s="26" t="s">
        <v>14</v>
      </c>
      <c r="D5" s="16">
        <v>2</v>
      </c>
      <c r="E5" s="16"/>
      <c r="F5" s="7" t="s">
        <v>50</v>
      </c>
      <c r="G5" s="7" t="s">
        <v>12</v>
      </c>
      <c r="H5" s="7" t="s">
        <v>48</v>
      </c>
      <c r="I5" s="16" t="str">
        <f>H4</f>
        <v>G8</v>
      </c>
      <c r="J5" s="16" t="str">
        <f>H5</f>
        <v>G3</v>
      </c>
    </row>
    <row r="6" spans="1:10" x14ac:dyDescent="0.3">
      <c r="A6" s="16" t="s">
        <v>24</v>
      </c>
      <c r="B6" s="17">
        <f>B2+7</f>
        <v>46079</v>
      </c>
      <c r="C6" s="26" t="s">
        <v>9</v>
      </c>
      <c r="D6" s="16">
        <v>1</v>
      </c>
      <c r="E6" s="16" t="str">
        <f>F6</f>
        <v>G5</v>
      </c>
      <c r="F6" s="7" t="s">
        <v>47</v>
      </c>
      <c r="G6" s="7" t="s">
        <v>12</v>
      </c>
      <c r="H6" s="7" t="s">
        <v>52</v>
      </c>
      <c r="I6" s="16" t="str">
        <f>F7</f>
        <v>G4</v>
      </c>
      <c r="J6" s="16"/>
    </row>
    <row r="7" spans="1:10" x14ac:dyDescent="0.3">
      <c r="A7" s="16" t="str">
        <f t="shared" si="0"/>
        <v>Round 2</v>
      </c>
      <c r="B7" s="18">
        <f>B6</f>
        <v>46079</v>
      </c>
      <c r="C7" s="26" t="s">
        <v>14</v>
      </c>
      <c r="D7" s="16">
        <v>1</v>
      </c>
      <c r="E7" s="16"/>
      <c r="F7" s="7" t="s">
        <v>49</v>
      </c>
      <c r="G7" s="7" t="s">
        <v>12</v>
      </c>
      <c r="H7" s="7" t="s">
        <v>45</v>
      </c>
      <c r="I7" s="16" t="str">
        <f>H6</f>
        <v>G8</v>
      </c>
      <c r="J7" s="16" t="str">
        <f>H7</f>
        <v>G2</v>
      </c>
    </row>
    <row r="8" spans="1:10" x14ac:dyDescent="0.3">
      <c r="A8" s="16" t="str">
        <f t="shared" si="0"/>
        <v>Round 2</v>
      </c>
      <c r="B8" s="18">
        <f t="shared" si="0"/>
        <v>46079</v>
      </c>
      <c r="C8" s="26" t="s">
        <v>9</v>
      </c>
      <c r="D8" s="16">
        <v>2</v>
      </c>
      <c r="E8" s="16" t="str">
        <f>F8</f>
        <v>G3</v>
      </c>
      <c r="F8" s="7" t="s">
        <v>48</v>
      </c>
      <c r="G8" s="7" t="s">
        <v>12</v>
      </c>
      <c r="H8" s="7" t="s">
        <v>46</v>
      </c>
      <c r="I8" s="16" t="str">
        <f>F9</f>
        <v>G1</v>
      </c>
      <c r="J8" s="16"/>
    </row>
    <row r="9" spans="1:10" x14ac:dyDescent="0.3">
      <c r="A9" s="16" t="str">
        <f t="shared" si="0"/>
        <v>Round 2</v>
      </c>
      <c r="B9" s="18">
        <f t="shared" si="0"/>
        <v>46079</v>
      </c>
      <c r="C9" s="26" t="s">
        <v>14</v>
      </c>
      <c r="D9" s="16">
        <v>2</v>
      </c>
      <c r="E9" s="16"/>
      <c r="F9" s="7" t="s">
        <v>51</v>
      </c>
      <c r="G9" s="7" t="s">
        <v>12</v>
      </c>
      <c r="H9" s="7" t="s">
        <v>50</v>
      </c>
      <c r="I9" s="16" t="str">
        <f>H8</f>
        <v>G6</v>
      </c>
      <c r="J9" s="16" t="str">
        <f>H9</f>
        <v>G7</v>
      </c>
    </row>
    <row r="10" spans="1:10" x14ac:dyDescent="0.3">
      <c r="A10" s="16" t="s">
        <v>25</v>
      </c>
      <c r="B10" s="17">
        <f>B6+7</f>
        <v>46086</v>
      </c>
      <c r="C10" s="26" t="s">
        <v>9</v>
      </c>
      <c r="D10" s="16">
        <v>1</v>
      </c>
      <c r="E10" s="16" t="str">
        <f>F10</f>
        <v>G6</v>
      </c>
      <c r="F10" s="7" t="s">
        <v>46</v>
      </c>
      <c r="G10" s="7" t="s">
        <v>12</v>
      </c>
      <c r="H10" s="7" t="s">
        <v>51</v>
      </c>
      <c r="I10" s="16" t="str">
        <f>F11</f>
        <v>G2</v>
      </c>
      <c r="J10" s="16"/>
    </row>
    <row r="11" spans="1:10" x14ac:dyDescent="0.3">
      <c r="A11" s="16" t="str">
        <f t="shared" si="0"/>
        <v>Round 3</v>
      </c>
      <c r="B11" s="18">
        <f>B10</f>
        <v>46086</v>
      </c>
      <c r="C11" s="26" t="s">
        <v>14</v>
      </c>
      <c r="D11" s="16">
        <v>1</v>
      </c>
      <c r="E11" s="16"/>
      <c r="F11" s="7" t="s">
        <v>45</v>
      </c>
      <c r="G11" s="7" t="s">
        <v>12</v>
      </c>
      <c r="H11" s="7" t="s">
        <v>48</v>
      </c>
      <c r="I11" s="16" t="str">
        <f>H10</f>
        <v>G1</v>
      </c>
      <c r="J11" s="16" t="str">
        <f>H11</f>
        <v>G3</v>
      </c>
    </row>
    <row r="12" spans="1:10" x14ac:dyDescent="0.3">
      <c r="A12" s="16" t="str">
        <f t="shared" si="0"/>
        <v>Round 3</v>
      </c>
      <c r="B12" s="18">
        <f t="shared" si="0"/>
        <v>46086</v>
      </c>
      <c r="C12" s="26" t="s">
        <v>9</v>
      </c>
      <c r="D12" s="16">
        <v>2</v>
      </c>
      <c r="E12" s="16" t="str">
        <f>F12</f>
        <v>G4</v>
      </c>
      <c r="F12" s="7" t="s">
        <v>49</v>
      </c>
      <c r="G12" s="7" t="s">
        <v>12</v>
      </c>
      <c r="H12" s="7" t="s">
        <v>47</v>
      </c>
      <c r="I12" s="16" t="str">
        <f>F13</f>
        <v>G8</v>
      </c>
      <c r="J12" s="16"/>
    </row>
    <row r="13" spans="1:10" x14ac:dyDescent="0.3">
      <c r="A13" s="16" t="str">
        <f t="shared" si="0"/>
        <v>Round 3</v>
      </c>
      <c r="B13" s="18">
        <f t="shared" si="0"/>
        <v>46086</v>
      </c>
      <c r="C13" s="26" t="s">
        <v>14</v>
      </c>
      <c r="D13" s="16">
        <v>2</v>
      </c>
      <c r="E13" s="16"/>
      <c r="F13" s="7" t="s">
        <v>52</v>
      </c>
      <c r="G13" s="7" t="s">
        <v>12</v>
      </c>
      <c r="H13" s="7" t="s">
        <v>50</v>
      </c>
      <c r="I13" s="16" t="str">
        <f>H12</f>
        <v>G5</v>
      </c>
      <c r="J13" s="16" t="str">
        <f>H13</f>
        <v>G7</v>
      </c>
    </row>
    <row r="14" spans="1:10" x14ac:dyDescent="0.3">
      <c r="A14" s="16" t="s">
        <v>26</v>
      </c>
      <c r="B14" s="17">
        <f>B10+7</f>
        <v>46093</v>
      </c>
      <c r="C14" s="26" t="s">
        <v>9</v>
      </c>
      <c r="D14" s="16">
        <v>1</v>
      </c>
      <c r="E14" s="16" t="str">
        <f>F14</f>
        <v>G8</v>
      </c>
      <c r="F14" s="7" t="s">
        <v>52</v>
      </c>
      <c r="G14" s="7" t="s">
        <v>12</v>
      </c>
      <c r="H14" s="7" t="s">
        <v>46</v>
      </c>
      <c r="I14" s="16" t="str">
        <f>F15</f>
        <v>G7</v>
      </c>
      <c r="J14" s="16"/>
    </row>
    <row r="15" spans="1:10" x14ac:dyDescent="0.3">
      <c r="A15" s="16" t="str">
        <f t="shared" si="0"/>
        <v>Round 4</v>
      </c>
      <c r="B15" s="18">
        <f>B14</f>
        <v>46093</v>
      </c>
      <c r="C15" s="26" t="s">
        <v>14</v>
      </c>
      <c r="D15" s="16">
        <v>1</v>
      </c>
      <c r="E15" s="16"/>
      <c r="F15" s="7" t="s">
        <v>50</v>
      </c>
      <c r="G15" s="7" t="s">
        <v>12</v>
      </c>
      <c r="H15" s="7" t="s">
        <v>49</v>
      </c>
      <c r="I15" s="16" t="str">
        <f>H14</f>
        <v>G6</v>
      </c>
      <c r="J15" s="16" t="str">
        <f>H15</f>
        <v>G4</v>
      </c>
    </row>
    <row r="16" spans="1:10" x14ac:dyDescent="0.3">
      <c r="A16" s="16" t="str">
        <f t="shared" si="0"/>
        <v>Round 4</v>
      </c>
      <c r="B16" s="18">
        <f t="shared" si="0"/>
        <v>46093</v>
      </c>
      <c r="C16" s="26" t="s">
        <v>9</v>
      </c>
      <c r="D16" s="16">
        <v>2</v>
      </c>
      <c r="E16" s="16" t="str">
        <f>F16</f>
        <v>G5</v>
      </c>
      <c r="F16" s="7" t="s">
        <v>47</v>
      </c>
      <c r="G16" s="7" t="s">
        <v>12</v>
      </c>
      <c r="H16" s="7" t="s">
        <v>45</v>
      </c>
      <c r="I16" s="16" t="str">
        <f>F17</f>
        <v>G3</v>
      </c>
      <c r="J16" s="16"/>
    </row>
    <row r="17" spans="1:10" x14ac:dyDescent="0.3">
      <c r="A17" s="16" t="str">
        <f t="shared" si="0"/>
        <v>Round 4</v>
      </c>
      <c r="B17" s="18">
        <f t="shared" si="0"/>
        <v>46093</v>
      </c>
      <c r="C17" s="26" t="s">
        <v>14</v>
      </c>
      <c r="D17" s="16">
        <v>2</v>
      </c>
      <c r="E17" s="16"/>
      <c r="F17" s="7" t="s">
        <v>48</v>
      </c>
      <c r="G17" s="7" t="s">
        <v>12</v>
      </c>
      <c r="H17" s="7" t="s">
        <v>51</v>
      </c>
      <c r="I17" s="16" t="str">
        <f>H16</f>
        <v>G2</v>
      </c>
      <c r="J17" s="16" t="str">
        <f>H17</f>
        <v>G1</v>
      </c>
    </row>
    <row r="18" spans="1:10" x14ac:dyDescent="0.3">
      <c r="A18" s="16" t="s">
        <v>27</v>
      </c>
      <c r="B18" s="17">
        <f>B14+7</f>
        <v>46100</v>
      </c>
      <c r="C18" s="26" t="s">
        <v>9</v>
      </c>
      <c r="D18" s="16">
        <v>1</v>
      </c>
      <c r="E18" s="16" t="str">
        <f>F18</f>
        <v>G7</v>
      </c>
      <c r="F18" s="7" t="s">
        <v>50</v>
      </c>
      <c r="G18" s="7" t="s">
        <v>12</v>
      </c>
      <c r="H18" s="7" t="s">
        <v>47</v>
      </c>
      <c r="I18" s="16" t="str">
        <f>F19</f>
        <v>G2</v>
      </c>
      <c r="J18" s="16"/>
    </row>
    <row r="19" spans="1:10" x14ac:dyDescent="0.3">
      <c r="A19" s="16" t="str">
        <f t="shared" si="0"/>
        <v>Round 5</v>
      </c>
      <c r="B19" s="18">
        <f>B18</f>
        <v>46100</v>
      </c>
      <c r="C19" s="26" t="s">
        <v>14</v>
      </c>
      <c r="D19" s="16">
        <v>1</v>
      </c>
      <c r="E19" s="16"/>
      <c r="F19" s="7" t="s">
        <v>45</v>
      </c>
      <c r="G19" s="7" t="s">
        <v>12</v>
      </c>
      <c r="H19" s="7" t="s">
        <v>51</v>
      </c>
      <c r="I19" s="16" t="str">
        <f>H18</f>
        <v>G5</v>
      </c>
      <c r="J19" s="16" t="str">
        <f>H19</f>
        <v>G1</v>
      </c>
    </row>
    <row r="20" spans="1:10" x14ac:dyDescent="0.3">
      <c r="A20" s="16" t="str">
        <f t="shared" si="0"/>
        <v>Round 5</v>
      </c>
      <c r="B20" s="18">
        <f t="shared" si="0"/>
        <v>46100</v>
      </c>
      <c r="C20" s="26" t="s">
        <v>9</v>
      </c>
      <c r="D20" s="16">
        <v>2</v>
      </c>
      <c r="E20" s="16" t="str">
        <f>F20</f>
        <v>G4</v>
      </c>
      <c r="F20" s="7" t="s">
        <v>49</v>
      </c>
      <c r="G20" s="7" t="s">
        <v>12</v>
      </c>
      <c r="H20" s="7" t="s">
        <v>46</v>
      </c>
      <c r="I20" s="16" t="str">
        <f>F21</f>
        <v>G3</v>
      </c>
      <c r="J20" s="16"/>
    </row>
    <row r="21" spans="1:10" x14ac:dyDescent="0.3">
      <c r="A21" s="16" t="str">
        <f t="shared" si="0"/>
        <v>Round 5</v>
      </c>
      <c r="B21" s="18">
        <f t="shared" si="0"/>
        <v>46100</v>
      </c>
      <c r="C21" s="26" t="s">
        <v>14</v>
      </c>
      <c r="D21" s="16">
        <v>2</v>
      </c>
      <c r="E21" s="16"/>
      <c r="F21" s="7" t="s">
        <v>48</v>
      </c>
      <c r="G21" s="7" t="s">
        <v>12</v>
      </c>
      <c r="H21" s="7" t="s">
        <v>52</v>
      </c>
      <c r="I21" s="16" t="str">
        <f>H20</f>
        <v>G6</v>
      </c>
      <c r="J21" s="16" t="str">
        <f>H21</f>
        <v>G8</v>
      </c>
    </row>
    <row r="22" spans="1:10" x14ac:dyDescent="0.3">
      <c r="A22" s="16" t="s">
        <v>28</v>
      </c>
      <c r="B22" s="17">
        <f>B18+7</f>
        <v>46107</v>
      </c>
      <c r="C22" s="26" t="s">
        <v>9</v>
      </c>
      <c r="D22" s="16">
        <v>1</v>
      </c>
      <c r="E22" s="16" t="str">
        <f>F22</f>
        <v>G7</v>
      </c>
      <c r="F22" s="7" t="s">
        <v>50</v>
      </c>
      <c r="G22" s="7" t="s">
        <v>12</v>
      </c>
      <c r="H22" s="7" t="s">
        <v>45</v>
      </c>
      <c r="I22" s="16" t="str">
        <f>F23</f>
        <v>G6</v>
      </c>
      <c r="J22" s="16"/>
    </row>
    <row r="23" spans="1:10" x14ac:dyDescent="0.3">
      <c r="A23" s="16" t="str">
        <f t="shared" si="0"/>
        <v>Round 6</v>
      </c>
      <c r="B23" s="18">
        <f>B22</f>
        <v>46107</v>
      </c>
      <c r="C23" s="26" t="s">
        <v>14</v>
      </c>
      <c r="D23" s="16">
        <v>1</v>
      </c>
      <c r="E23" s="16"/>
      <c r="F23" s="7" t="s">
        <v>46</v>
      </c>
      <c r="G23" s="7" t="s">
        <v>12</v>
      </c>
      <c r="H23" s="7" t="s">
        <v>47</v>
      </c>
      <c r="I23" s="16" t="str">
        <f>H22</f>
        <v>G2</v>
      </c>
      <c r="J23" s="16" t="str">
        <f>H23</f>
        <v>G5</v>
      </c>
    </row>
    <row r="24" spans="1:10" x14ac:dyDescent="0.3">
      <c r="A24" s="16" t="str">
        <f t="shared" si="0"/>
        <v>Round 6</v>
      </c>
      <c r="B24" s="18">
        <f t="shared" si="0"/>
        <v>46107</v>
      </c>
      <c r="C24" s="26" t="s">
        <v>9</v>
      </c>
      <c r="D24" s="16">
        <v>2</v>
      </c>
      <c r="E24" s="16" t="str">
        <f>F24</f>
        <v>G4</v>
      </c>
      <c r="F24" s="7" t="s">
        <v>49</v>
      </c>
      <c r="G24" s="7" t="s">
        <v>12</v>
      </c>
      <c r="H24" s="7" t="s">
        <v>48</v>
      </c>
      <c r="I24" s="16" t="str">
        <f>F25</f>
        <v>G1</v>
      </c>
      <c r="J24" s="16"/>
    </row>
    <row r="25" spans="1:10" x14ac:dyDescent="0.3">
      <c r="A25" s="16" t="str">
        <f t="shared" si="0"/>
        <v>Round 6</v>
      </c>
      <c r="B25" s="18">
        <f t="shared" si="0"/>
        <v>46107</v>
      </c>
      <c r="C25" s="26" t="s">
        <v>14</v>
      </c>
      <c r="D25" s="16">
        <v>2</v>
      </c>
      <c r="E25" s="16"/>
      <c r="F25" s="7" t="s">
        <v>51</v>
      </c>
      <c r="G25" s="7" t="s">
        <v>12</v>
      </c>
      <c r="H25" s="7" t="s">
        <v>52</v>
      </c>
      <c r="I25" s="16" t="str">
        <f>H24</f>
        <v>G3</v>
      </c>
      <c r="J25" s="16" t="str">
        <f>H25</f>
        <v>G8</v>
      </c>
    </row>
    <row r="26" spans="1:10" x14ac:dyDescent="0.3">
      <c r="A26" s="16" t="s">
        <v>29</v>
      </c>
      <c r="B26" s="17">
        <f>B22+7</f>
        <v>46114</v>
      </c>
      <c r="C26" s="26" t="s">
        <v>9</v>
      </c>
      <c r="D26" s="16">
        <v>1</v>
      </c>
      <c r="E26" s="16" t="str">
        <f>F26</f>
        <v>G5</v>
      </c>
      <c r="F26" s="7" t="s">
        <v>47</v>
      </c>
      <c r="G26" s="7" t="s">
        <v>12</v>
      </c>
      <c r="H26" s="7" t="s">
        <v>48</v>
      </c>
      <c r="I26" s="16" t="str">
        <f>F27</f>
        <v>G7</v>
      </c>
      <c r="J26" s="16"/>
    </row>
    <row r="27" spans="1:10" x14ac:dyDescent="0.3">
      <c r="A27" s="16" t="str">
        <f t="shared" si="0"/>
        <v>Round 7</v>
      </c>
      <c r="B27" s="18">
        <f>B26</f>
        <v>46114</v>
      </c>
      <c r="C27" s="26" t="s">
        <v>14</v>
      </c>
      <c r="D27" s="16">
        <v>1</v>
      </c>
      <c r="E27" s="16"/>
      <c r="F27" s="7" t="s">
        <v>50</v>
      </c>
      <c r="G27" s="7" t="s">
        <v>12</v>
      </c>
      <c r="H27" s="7" t="s">
        <v>49</v>
      </c>
      <c r="I27" s="16" t="str">
        <f>H26</f>
        <v>G3</v>
      </c>
      <c r="J27" s="16" t="str">
        <f>H27</f>
        <v>G4</v>
      </c>
    </row>
    <row r="28" spans="1:10" x14ac:dyDescent="0.3">
      <c r="A28" s="16" t="str">
        <f t="shared" si="0"/>
        <v>Round 7</v>
      </c>
      <c r="B28" s="18">
        <f t="shared" si="0"/>
        <v>46114</v>
      </c>
      <c r="C28" s="26" t="s">
        <v>9</v>
      </c>
      <c r="D28" s="16">
        <v>2</v>
      </c>
      <c r="E28" s="16" t="str">
        <f>F28</f>
        <v>G2</v>
      </c>
      <c r="F28" s="7" t="s">
        <v>45</v>
      </c>
      <c r="G28" s="7" t="s">
        <v>12</v>
      </c>
      <c r="H28" s="7" t="s">
        <v>52</v>
      </c>
      <c r="I28" s="16" t="str">
        <f>F29</f>
        <v>G1</v>
      </c>
      <c r="J28" s="16"/>
    </row>
    <row r="29" spans="1:10" x14ac:dyDescent="0.3">
      <c r="A29" s="16" t="str">
        <f t="shared" si="0"/>
        <v>Round 7</v>
      </c>
      <c r="B29" s="18">
        <f t="shared" si="0"/>
        <v>46114</v>
      </c>
      <c r="C29" s="26" t="s">
        <v>14</v>
      </c>
      <c r="D29" s="16">
        <v>2</v>
      </c>
      <c r="E29" s="16"/>
      <c r="F29" s="7" t="s">
        <v>51</v>
      </c>
      <c r="G29" s="7" t="s">
        <v>12</v>
      </c>
      <c r="H29" s="7" t="s">
        <v>46</v>
      </c>
      <c r="I29" s="16" t="str">
        <f>H28</f>
        <v>G8</v>
      </c>
      <c r="J29" s="16" t="str">
        <f>H29</f>
        <v>G6</v>
      </c>
    </row>
    <row r="30" spans="1:10" x14ac:dyDescent="0.3">
      <c r="A30" s="16" t="s">
        <v>61</v>
      </c>
      <c r="B30" s="19">
        <f>B26+7</f>
        <v>46121</v>
      </c>
      <c r="C30" s="27"/>
      <c r="D30" s="22"/>
      <c r="E30" s="22"/>
      <c r="F30" s="22"/>
      <c r="G30" s="22"/>
      <c r="H30" s="22"/>
      <c r="I30" s="22"/>
      <c r="J30" s="22"/>
    </row>
    <row r="31" spans="1:10" x14ac:dyDescent="0.3">
      <c r="A31" s="16" t="str">
        <f t="shared" si="0"/>
        <v>Holidays</v>
      </c>
      <c r="B31" s="19">
        <f>B30+7</f>
        <v>46128</v>
      </c>
      <c r="C31" s="27"/>
      <c r="D31" s="22"/>
      <c r="E31" s="22"/>
      <c r="F31" s="22"/>
      <c r="G31" s="22"/>
      <c r="H31" s="22"/>
      <c r="I31" s="22"/>
      <c r="J31" s="22"/>
    </row>
    <row r="32" spans="1:10" x14ac:dyDescent="0.3">
      <c r="A32" s="16" t="s">
        <v>34</v>
      </c>
      <c r="B32" s="17">
        <f>B31+7</f>
        <v>46135</v>
      </c>
      <c r="C32" s="26" t="s">
        <v>9</v>
      </c>
      <c r="D32" s="16">
        <v>1</v>
      </c>
      <c r="E32" s="16" t="str">
        <f>F32</f>
        <v>G4</v>
      </c>
      <c r="F32" s="7" t="s">
        <v>49</v>
      </c>
      <c r="G32" s="7" t="s">
        <v>12</v>
      </c>
      <c r="H32" s="7" t="s">
        <v>52</v>
      </c>
      <c r="I32" s="16" t="str">
        <f>F33</f>
        <v>G2</v>
      </c>
      <c r="J32" s="16"/>
    </row>
    <row r="33" spans="1:10" x14ac:dyDescent="0.3">
      <c r="A33" s="16" t="str">
        <f t="shared" ref="A33:B61" si="1">A32</f>
        <v>Round 8</v>
      </c>
      <c r="B33" s="18">
        <f>B32</f>
        <v>46135</v>
      </c>
      <c r="C33" s="26" t="s">
        <v>14</v>
      </c>
      <c r="D33" s="16">
        <v>1</v>
      </c>
      <c r="E33" s="16"/>
      <c r="F33" s="7" t="s">
        <v>45</v>
      </c>
      <c r="G33" s="7" t="s">
        <v>12</v>
      </c>
      <c r="H33" s="7" t="s">
        <v>46</v>
      </c>
      <c r="I33" s="16" t="str">
        <f>H32</f>
        <v>G8</v>
      </c>
      <c r="J33" s="16" t="str">
        <f>H33</f>
        <v>G6</v>
      </c>
    </row>
    <row r="34" spans="1:10" x14ac:dyDescent="0.3">
      <c r="A34" s="16" t="str">
        <f t="shared" si="1"/>
        <v>Round 8</v>
      </c>
      <c r="B34" s="18">
        <f t="shared" si="1"/>
        <v>46135</v>
      </c>
      <c r="C34" s="26" t="s">
        <v>9</v>
      </c>
      <c r="D34" s="16">
        <v>2</v>
      </c>
      <c r="E34" s="16" t="str">
        <f>F34</f>
        <v>G1</v>
      </c>
      <c r="F34" s="7" t="s">
        <v>51</v>
      </c>
      <c r="G34" s="7" t="s">
        <v>12</v>
      </c>
      <c r="H34" s="7" t="s">
        <v>47</v>
      </c>
      <c r="I34" s="16" t="str">
        <f>F35</f>
        <v>G7</v>
      </c>
      <c r="J34" s="16"/>
    </row>
    <row r="35" spans="1:10" x14ac:dyDescent="0.3">
      <c r="A35" s="16" t="str">
        <f t="shared" si="1"/>
        <v>Round 8</v>
      </c>
      <c r="B35" s="18">
        <f t="shared" si="1"/>
        <v>46135</v>
      </c>
      <c r="C35" s="26" t="s">
        <v>14</v>
      </c>
      <c r="D35" s="16">
        <v>2</v>
      </c>
      <c r="E35" s="16"/>
      <c r="F35" s="7" t="s">
        <v>50</v>
      </c>
      <c r="G35" s="7" t="s">
        <v>12</v>
      </c>
      <c r="H35" s="7" t="s">
        <v>48</v>
      </c>
      <c r="I35" s="16" t="str">
        <f>H34</f>
        <v>G5</v>
      </c>
      <c r="J35" s="16" t="str">
        <f>H35</f>
        <v>G3</v>
      </c>
    </row>
    <row r="36" spans="1:10" x14ac:dyDescent="0.3">
      <c r="A36" s="16" t="s">
        <v>35</v>
      </c>
      <c r="B36" s="17">
        <f>B32+7</f>
        <v>46142</v>
      </c>
      <c r="C36" s="26" t="s">
        <v>9</v>
      </c>
      <c r="D36" s="16">
        <v>1</v>
      </c>
      <c r="E36" s="16" t="str">
        <f>F36</f>
        <v>G1</v>
      </c>
      <c r="F36" s="7" t="s">
        <v>51</v>
      </c>
      <c r="G36" s="7" t="s">
        <v>12</v>
      </c>
      <c r="H36" s="7" t="s">
        <v>50</v>
      </c>
      <c r="I36" s="16" t="str">
        <f>F37</f>
        <v>G3</v>
      </c>
      <c r="J36" s="16"/>
    </row>
    <row r="37" spans="1:10" x14ac:dyDescent="0.3">
      <c r="A37" s="16" t="str">
        <f t="shared" si="1"/>
        <v>Round 9</v>
      </c>
      <c r="B37" s="18">
        <f>B36</f>
        <v>46142</v>
      </c>
      <c r="C37" s="26" t="s">
        <v>14</v>
      </c>
      <c r="D37" s="16">
        <v>1</v>
      </c>
      <c r="E37" s="16"/>
      <c r="F37" s="7" t="s">
        <v>48</v>
      </c>
      <c r="G37" s="7" t="s">
        <v>12</v>
      </c>
      <c r="H37" s="7" t="s">
        <v>46</v>
      </c>
      <c r="I37" s="16" t="str">
        <f>H36</f>
        <v>G7</v>
      </c>
      <c r="J37" s="16" t="str">
        <f>H37</f>
        <v>G6</v>
      </c>
    </row>
    <row r="38" spans="1:10" x14ac:dyDescent="0.3">
      <c r="A38" s="16" t="str">
        <f t="shared" si="1"/>
        <v>Round 9</v>
      </c>
      <c r="B38" s="18">
        <f t="shared" si="1"/>
        <v>46142</v>
      </c>
      <c r="C38" s="26" t="s">
        <v>9</v>
      </c>
      <c r="D38" s="16">
        <v>2</v>
      </c>
      <c r="E38" s="16" t="str">
        <f>F38</f>
        <v>G4</v>
      </c>
      <c r="F38" s="7" t="s">
        <v>49</v>
      </c>
      <c r="G38" s="7" t="s">
        <v>12</v>
      </c>
      <c r="H38" s="7" t="s">
        <v>45</v>
      </c>
      <c r="I38" s="16" t="str">
        <f>F39</f>
        <v>G5</v>
      </c>
      <c r="J38" s="16"/>
    </row>
    <row r="39" spans="1:10" x14ac:dyDescent="0.3">
      <c r="A39" s="16" t="str">
        <f t="shared" si="1"/>
        <v>Round 9</v>
      </c>
      <c r="B39" s="18">
        <f t="shared" si="1"/>
        <v>46142</v>
      </c>
      <c r="C39" s="26" t="s">
        <v>14</v>
      </c>
      <c r="D39" s="16">
        <v>2</v>
      </c>
      <c r="E39" s="16"/>
      <c r="F39" s="7" t="s">
        <v>47</v>
      </c>
      <c r="G39" s="7" t="s">
        <v>12</v>
      </c>
      <c r="H39" s="7" t="s">
        <v>52</v>
      </c>
      <c r="I39" s="16" t="str">
        <f>H38</f>
        <v>G2</v>
      </c>
      <c r="J39" s="16" t="str">
        <f>H39</f>
        <v>G8</v>
      </c>
    </row>
    <row r="40" spans="1:10" x14ac:dyDescent="0.3">
      <c r="A40" s="16" t="s">
        <v>36</v>
      </c>
      <c r="B40" s="17">
        <f>B36+7</f>
        <v>46149</v>
      </c>
      <c r="C40" s="26" t="s">
        <v>9</v>
      </c>
      <c r="D40" s="16">
        <v>1</v>
      </c>
      <c r="E40" s="16" t="str">
        <f>F40</f>
        <v>G8</v>
      </c>
      <c r="F40" s="7" t="s">
        <v>52</v>
      </c>
      <c r="G40" s="7" t="s">
        <v>12</v>
      </c>
      <c r="H40" s="7" t="s">
        <v>50</v>
      </c>
      <c r="I40" s="16" t="str">
        <f>F41</f>
        <v>G6</v>
      </c>
      <c r="J40" s="16"/>
    </row>
    <row r="41" spans="1:10" x14ac:dyDescent="0.3">
      <c r="A41" s="16" t="str">
        <f t="shared" si="1"/>
        <v>Round 10</v>
      </c>
      <c r="B41" s="18">
        <f>B40</f>
        <v>46149</v>
      </c>
      <c r="C41" s="26" t="s">
        <v>14</v>
      </c>
      <c r="D41" s="16">
        <v>1</v>
      </c>
      <c r="E41" s="16"/>
      <c r="F41" s="7" t="s">
        <v>46</v>
      </c>
      <c r="G41" s="7" t="s">
        <v>12</v>
      </c>
      <c r="H41" s="7" t="s">
        <v>51</v>
      </c>
      <c r="I41" s="16" t="str">
        <f>H40</f>
        <v>G7</v>
      </c>
      <c r="J41" s="16" t="str">
        <f>H41</f>
        <v>G1</v>
      </c>
    </row>
    <row r="42" spans="1:10" x14ac:dyDescent="0.3">
      <c r="A42" s="16" t="str">
        <f t="shared" si="1"/>
        <v>Round 10</v>
      </c>
      <c r="B42" s="18">
        <f t="shared" si="1"/>
        <v>46149</v>
      </c>
      <c r="C42" s="26" t="s">
        <v>9</v>
      </c>
      <c r="D42" s="16">
        <v>2</v>
      </c>
      <c r="E42" s="16" t="str">
        <f>F42</f>
        <v>G2</v>
      </c>
      <c r="F42" s="7" t="s">
        <v>45</v>
      </c>
      <c r="G42" s="7" t="s">
        <v>12</v>
      </c>
      <c r="H42" s="7" t="s">
        <v>48</v>
      </c>
      <c r="I42" s="16" t="str">
        <f>F43</f>
        <v>G4</v>
      </c>
      <c r="J42" s="16"/>
    </row>
    <row r="43" spans="1:10" x14ac:dyDescent="0.3">
      <c r="A43" s="16" t="str">
        <f t="shared" si="1"/>
        <v>Round 10</v>
      </c>
      <c r="B43" s="18">
        <f t="shared" si="1"/>
        <v>46149</v>
      </c>
      <c r="C43" s="26" t="s">
        <v>14</v>
      </c>
      <c r="D43" s="16">
        <v>2</v>
      </c>
      <c r="E43" s="16"/>
      <c r="F43" s="7" t="s">
        <v>49</v>
      </c>
      <c r="G43" s="7" t="s">
        <v>12</v>
      </c>
      <c r="H43" s="7" t="s">
        <v>47</v>
      </c>
      <c r="I43" s="16" t="str">
        <f>H42</f>
        <v>G3</v>
      </c>
      <c r="J43" s="16" t="str">
        <f>H43</f>
        <v>G5</v>
      </c>
    </row>
    <row r="44" spans="1:10" x14ac:dyDescent="0.3">
      <c r="A44" s="16" t="s">
        <v>37</v>
      </c>
      <c r="B44" s="17">
        <f>B40+7</f>
        <v>46156</v>
      </c>
      <c r="C44" s="26" t="s">
        <v>9</v>
      </c>
      <c r="D44" s="16">
        <v>1</v>
      </c>
      <c r="E44" s="16" t="str">
        <f>F44</f>
        <v>G3</v>
      </c>
      <c r="F44" s="7" t="s">
        <v>48</v>
      </c>
      <c r="G44" s="7" t="s">
        <v>12</v>
      </c>
      <c r="H44" s="7" t="s">
        <v>51</v>
      </c>
      <c r="I44" s="16" t="str">
        <f>F45</f>
        <v>G5</v>
      </c>
      <c r="J44" s="16"/>
    </row>
    <row r="45" spans="1:10" x14ac:dyDescent="0.3">
      <c r="A45" s="16" t="str">
        <f t="shared" si="1"/>
        <v>Round 11</v>
      </c>
      <c r="B45" s="18">
        <f>B44</f>
        <v>46156</v>
      </c>
      <c r="C45" s="26" t="s">
        <v>14</v>
      </c>
      <c r="D45" s="16">
        <v>1</v>
      </c>
      <c r="E45" s="16"/>
      <c r="F45" s="7" t="s">
        <v>47</v>
      </c>
      <c r="G45" s="7" t="s">
        <v>12</v>
      </c>
      <c r="H45" s="7" t="s">
        <v>45</v>
      </c>
      <c r="I45" s="16" t="str">
        <f>H44</f>
        <v>G1</v>
      </c>
      <c r="J45" s="16" t="str">
        <f>H45</f>
        <v>G2</v>
      </c>
    </row>
    <row r="46" spans="1:10" x14ac:dyDescent="0.3">
      <c r="A46" s="16" t="str">
        <f t="shared" si="1"/>
        <v>Round 11</v>
      </c>
      <c r="B46" s="18">
        <f t="shared" si="1"/>
        <v>46156</v>
      </c>
      <c r="C46" s="26" t="s">
        <v>9</v>
      </c>
      <c r="D46" s="16">
        <v>2</v>
      </c>
      <c r="E46" s="16" t="str">
        <f>F46</f>
        <v>G7</v>
      </c>
      <c r="F46" s="7" t="s">
        <v>50</v>
      </c>
      <c r="G46" s="7" t="s">
        <v>12</v>
      </c>
      <c r="H46" s="7" t="s">
        <v>49</v>
      </c>
      <c r="I46" s="16" t="str">
        <f>F47</f>
        <v>G8</v>
      </c>
      <c r="J46" s="16"/>
    </row>
    <row r="47" spans="1:10" x14ac:dyDescent="0.3">
      <c r="A47" s="16" t="str">
        <f t="shared" si="1"/>
        <v>Round 11</v>
      </c>
      <c r="B47" s="18">
        <f t="shared" si="1"/>
        <v>46156</v>
      </c>
      <c r="C47" s="26" t="s">
        <v>14</v>
      </c>
      <c r="D47" s="16">
        <v>2</v>
      </c>
      <c r="E47" s="16"/>
      <c r="F47" s="7" t="s">
        <v>52</v>
      </c>
      <c r="G47" s="7" t="s">
        <v>12</v>
      </c>
      <c r="H47" s="7" t="s">
        <v>46</v>
      </c>
      <c r="I47" s="16" t="str">
        <f>H46</f>
        <v>G4</v>
      </c>
      <c r="J47" s="16" t="str">
        <f>H47</f>
        <v>G6</v>
      </c>
    </row>
    <row r="48" spans="1:10" x14ac:dyDescent="0.3">
      <c r="A48" s="16" t="s">
        <v>38</v>
      </c>
      <c r="B48" s="17">
        <f>B44+7</f>
        <v>46163</v>
      </c>
      <c r="C48" s="26" t="s">
        <v>9</v>
      </c>
      <c r="D48" s="16">
        <v>1</v>
      </c>
      <c r="E48" s="16" t="str">
        <f>F48</f>
        <v>G3</v>
      </c>
      <c r="F48" s="7" t="s">
        <v>48</v>
      </c>
      <c r="G48" s="7" t="s">
        <v>12</v>
      </c>
      <c r="H48" s="7" t="s">
        <v>52</v>
      </c>
      <c r="I48" s="16" t="str">
        <f>F49</f>
        <v>G4</v>
      </c>
      <c r="J48" s="16"/>
    </row>
    <row r="49" spans="1:10" x14ac:dyDescent="0.3">
      <c r="A49" s="16" t="str">
        <f t="shared" si="1"/>
        <v>Round 12</v>
      </c>
      <c r="B49" s="18">
        <f>B48</f>
        <v>46163</v>
      </c>
      <c r="C49" s="26" t="s">
        <v>14</v>
      </c>
      <c r="D49" s="16">
        <v>1</v>
      </c>
      <c r="E49" s="16"/>
      <c r="F49" s="7" t="s">
        <v>49</v>
      </c>
      <c r="G49" s="7" t="s">
        <v>12</v>
      </c>
      <c r="H49" s="7" t="s">
        <v>46</v>
      </c>
      <c r="I49" s="16" t="str">
        <f>H48</f>
        <v>G8</v>
      </c>
      <c r="J49" s="16" t="str">
        <f>H49</f>
        <v>G6</v>
      </c>
    </row>
    <row r="50" spans="1:10" x14ac:dyDescent="0.3">
      <c r="A50" s="16" t="str">
        <f t="shared" si="1"/>
        <v>Round 12</v>
      </c>
      <c r="B50" s="18">
        <f t="shared" si="1"/>
        <v>46163</v>
      </c>
      <c r="C50" s="26" t="s">
        <v>9</v>
      </c>
      <c r="D50" s="16">
        <v>2</v>
      </c>
      <c r="E50" s="16" t="str">
        <f>F50</f>
        <v>G2</v>
      </c>
      <c r="F50" s="7" t="s">
        <v>45</v>
      </c>
      <c r="G50" s="7" t="s">
        <v>12</v>
      </c>
      <c r="H50" s="7" t="s">
        <v>51</v>
      </c>
      <c r="I50" s="16" t="str">
        <f>F51</f>
        <v>G7</v>
      </c>
      <c r="J50" s="16"/>
    </row>
    <row r="51" spans="1:10" x14ac:dyDescent="0.3">
      <c r="A51" s="16" t="str">
        <f t="shared" si="1"/>
        <v>Round 12</v>
      </c>
      <c r="B51" s="18">
        <f t="shared" si="1"/>
        <v>46163</v>
      </c>
      <c r="C51" s="26" t="s">
        <v>14</v>
      </c>
      <c r="D51" s="16">
        <v>2</v>
      </c>
      <c r="E51" s="16"/>
      <c r="F51" s="7" t="s">
        <v>50</v>
      </c>
      <c r="G51" s="7" t="s">
        <v>12</v>
      </c>
      <c r="H51" s="7" t="s">
        <v>47</v>
      </c>
      <c r="I51" s="16" t="str">
        <f>H50</f>
        <v>G1</v>
      </c>
      <c r="J51" s="16" t="str">
        <f>H51</f>
        <v>G5</v>
      </c>
    </row>
    <row r="52" spans="1:10" x14ac:dyDescent="0.3">
      <c r="A52" s="16" t="s">
        <v>39</v>
      </c>
      <c r="B52" s="17">
        <f>B48+7</f>
        <v>46170</v>
      </c>
      <c r="C52" s="26" t="s">
        <v>9</v>
      </c>
      <c r="D52" s="16">
        <v>1</v>
      </c>
      <c r="E52" s="16" t="str">
        <f>F52</f>
        <v>G1</v>
      </c>
      <c r="F52" s="7" t="s">
        <v>51</v>
      </c>
      <c r="G52" s="7" t="s">
        <v>12</v>
      </c>
      <c r="H52" s="7" t="s">
        <v>52</v>
      </c>
      <c r="I52" s="16" t="str">
        <f>F53</f>
        <v>G4</v>
      </c>
      <c r="J52" s="16"/>
    </row>
    <row r="53" spans="1:10" x14ac:dyDescent="0.3">
      <c r="A53" s="16" t="str">
        <f t="shared" si="1"/>
        <v>Round 13</v>
      </c>
      <c r="B53" s="18">
        <f>B52</f>
        <v>46170</v>
      </c>
      <c r="C53" s="26" t="s">
        <v>14</v>
      </c>
      <c r="D53" s="16">
        <v>1</v>
      </c>
      <c r="E53" s="16"/>
      <c r="F53" s="7" t="s">
        <v>49</v>
      </c>
      <c r="G53" s="7" t="s">
        <v>12</v>
      </c>
      <c r="H53" s="7" t="s">
        <v>48</v>
      </c>
      <c r="I53" s="16" t="str">
        <f>H52</f>
        <v>G8</v>
      </c>
      <c r="J53" s="16" t="str">
        <f>H53</f>
        <v>G3</v>
      </c>
    </row>
    <row r="54" spans="1:10" x14ac:dyDescent="0.3">
      <c r="A54" s="16" t="str">
        <f t="shared" si="1"/>
        <v>Round 13</v>
      </c>
      <c r="B54" s="18">
        <f t="shared" si="1"/>
        <v>46170</v>
      </c>
      <c r="C54" s="26" t="s">
        <v>9</v>
      </c>
      <c r="D54" s="16">
        <v>2</v>
      </c>
      <c r="E54" s="16" t="str">
        <f>F54</f>
        <v>G6</v>
      </c>
      <c r="F54" s="7" t="s">
        <v>46</v>
      </c>
      <c r="G54" s="7" t="s">
        <v>12</v>
      </c>
      <c r="H54" s="7" t="s">
        <v>47</v>
      </c>
      <c r="I54" s="16" t="str">
        <f>F55</f>
        <v>G7</v>
      </c>
      <c r="J54" s="16"/>
    </row>
    <row r="55" spans="1:10" x14ac:dyDescent="0.3">
      <c r="A55" s="16" t="str">
        <f t="shared" si="1"/>
        <v>Round 13</v>
      </c>
      <c r="B55" s="18">
        <f t="shared" si="1"/>
        <v>46170</v>
      </c>
      <c r="C55" s="26" t="s">
        <v>14</v>
      </c>
      <c r="D55" s="16">
        <v>2</v>
      </c>
      <c r="E55" s="16"/>
      <c r="F55" s="7" t="s">
        <v>50</v>
      </c>
      <c r="G55" s="7" t="s">
        <v>12</v>
      </c>
      <c r="H55" s="7" t="s">
        <v>45</v>
      </c>
      <c r="I55" s="16" t="str">
        <f>H54</f>
        <v>G5</v>
      </c>
      <c r="J55" s="16" t="str">
        <f>H55</f>
        <v>G2</v>
      </c>
    </row>
    <row r="56" spans="1:10" x14ac:dyDescent="0.3">
      <c r="A56" s="16" t="s">
        <v>40</v>
      </c>
      <c r="B56" s="17">
        <f>B52+7</f>
        <v>46177</v>
      </c>
      <c r="C56" s="26" t="s">
        <v>9</v>
      </c>
      <c r="D56" s="16">
        <v>1</v>
      </c>
      <c r="E56" s="16" t="str">
        <f>F56</f>
        <v>G7</v>
      </c>
      <c r="F56" s="7" t="s">
        <v>50</v>
      </c>
      <c r="G56" s="7" t="s">
        <v>12</v>
      </c>
      <c r="H56" s="7" t="s">
        <v>49</v>
      </c>
      <c r="I56" s="16" t="str">
        <f>F57</f>
        <v>G5</v>
      </c>
      <c r="J56" s="16"/>
    </row>
    <row r="57" spans="1:10" x14ac:dyDescent="0.3">
      <c r="A57" s="16" t="str">
        <f t="shared" si="1"/>
        <v>Round 14</v>
      </c>
      <c r="B57" s="18">
        <f>B56</f>
        <v>46177</v>
      </c>
      <c r="C57" s="26" t="s">
        <v>14</v>
      </c>
      <c r="D57" s="16">
        <v>1</v>
      </c>
      <c r="E57" s="16"/>
      <c r="F57" s="7" t="s">
        <v>47</v>
      </c>
      <c r="G57" s="7" t="s">
        <v>12</v>
      </c>
      <c r="H57" s="7" t="s">
        <v>48</v>
      </c>
      <c r="I57" s="16" t="str">
        <f>H56</f>
        <v>G4</v>
      </c>
      <c r="J57" s="16" t="str">
        <f>H57</f>
        <v>G3</v>
      </c>
    </row>
    <row r="58" spans="1:10" x14ac:dyDescent="0.3">
      <c r="A58" s="16" t="str">
        <f t="shared" si="1"/>
        <v>Round 14</v>
      </c>
      <c r="B58" s="18">
        <f t="shared" si="1"/>
        <v>46177</v>
      </c>
      <c r="C58" s="26" t="s">
        <v>9</v>
      </c>
      <c r="D58" s="16">
        <v>2</v>
      </c>
      <c r="E58" s="16" t="str">
        <f>F58</f>
        <v>G1</v>
      </c>
      <c r="F58" s="7" t="s">
        <v>51</v>
      </c>
      <c r="G58" s="7" t="s">
        <v>12</v>
      </c>
      <c r="H58" s="7" t="s">
        <v>46</v>
      </c>
      <c r="I58" s="16" t="str">
        <f>F59</f>
        <v>G2</v>
      </c>
      <c r="J58" s="16"/>
    </row>
    <row r="59" spans="1:10" x14ac:dyDescent="0.3">
      <c r="A59" s="16" t="str">
        <f t="shared" si="1"/>
        <v>Round 14</v>
      </c>
      <c r="B59" s="18">
        <f t="shared" si="1"/>
        <v>46177</v>
      </c>
      <c r="C59" s="26" t="s">
        <v>14</v>
      </c>
      <c r="D59" s="16">
        <v>2</v>
      </c>
      <c r="E59" s="16"/>
      <c r="F59" s="7" t="s">
        <v>45</v>
      </c>
      <c r="G59" s="7" t="s">
        <v>12</v>
      </c>
      <c r="H59" s="7" t="s">
        <v>52</v>
      </c>
      <c r="I59" s="16" t="str">
        <f>H58</f>
        <v>G6</v>
      </c>
      <c r="J59" s="16" t="str">
        <f>H59</f>
        <v>G8</v>
      </c>
    </row>
    <row r="60" spans="1:10" x14ac:dyDescent="0.3">
      <c r="A60" s="16" t="s">
        <v>62</v>
      </c>
      <c r="B60" s="9">
        <f>B56+7</f>
        <v>46184</v>
      </c>
      <c r="C60" s="26" t="s">
        <v>9</v>
      </c>
      <c r="D60" s="16">
        <v>1</v>
      </c>
      <c r="E60" s="16">
        <f>F60</f>
        <v>0</v>
      </c>
      <c r="F60" s="16"/>
      <c r="G60" s="16" t="s">
        <v>12</v>
      </c>
      <c r="H60" s="16"/>
      <c r="I60" s="16">
        <f>F61</f>
        <v>0</v>
      </c>
      <c r="J60" s="16"/>
    </row>
    <row r="61" spans="1:10" x14ac:dyDescent="0.3">
      <c r="A61" s="16" t="str">
        <f t="shared" si="1"/>
        <v>Semi Final</v>
      </c>
      <c r="B61" s="9">
        <f>B60</f>
        <v>46184</v>
      </c>
      <c r="C61" s="26" t="s">
        <v>14</v>
      </c>
      <c r="D61" s="16">
        <v>1</v>
      </c>
      <c r="E61" s="16"/>
      <c r="F61" s="16"/>
      <c r="G61" s="16" t="s">
        <v>12</v>
      </c>
      <c r="H61" s="16"/>
      <c r="I61" s="16">
        <f>H60</f>
        <v>0</v>
      </c>
      <c r="J61" s="16">
        <f>H61</f>
        <v>0</v>
      </c>
    </row>
    <row r="62" spans="1:10" x14ac:dyDescent="0.3">
      <c r="A62" s="16" t="str">
        <f t="shared" ref="A62:B63" si="2">A61</f>
        <v>Semi Final</v>
      </c>
      <c r="B62" s="9">
        <f t="shared" si="2"/>
        <v>46184</v>
      </c>
      <c r="C62" s="26" t="s">
        <v>9</v>
      </c>
      <c r="D62" s="16">
        <v>2</v>
      </c>
      <c r="E62" s="16">
        <f>F62</f>
        <v>0</v>
      </c>
      <c r="F62" s="16"/>
      <c r="G62" s="16" t="s">
        <v>12</v>
      </c>
      <c r="H62" s="16"/>
      <c r="I62" s="16">
        <f>F63</f>
        <v>0</v>
      </c>
      <c r="J62" s="16"/>
    </row>
    <row r="63" spans="1:10" x14ac:dyDescent="0.3">
      <c r="A63" s="16" t="str">
        <f t="shared" si="2"/>
        <v>Semi Final</v>
      </c>
      <c r="B63" s="9">
        <f t="shared" si="2"/>
        <v>46184</v>
      </c>
      <c r="C63" s="26" t="s">
        <v>14</v>
      </c>
      <c r="D63" s="16">
        <v>2</v>
      </c>
      <c r="E63" s="16"/>
      <c r="F63" s="16"/>
      <c r="G63" s="16" t="s">
        <v>12</v>
      </c>
      <c r="H63" s="16"/>
      <c r="I63" s="16">
        <f>H62</f>
        <v>0</v>
      </c>
      <c r="J63" s="16">
        <f>H63</f>
        <v>0</v>
      </c>
    </row>
    <row r="64" spans="1:10" x14ac:dyDescent="0.3">
      <c r="A64" s="24" t="s">
        <v>43</v>
      </c>
      <c r="B64" s="23">
        <f>B60+6</f>
        <v>46190</v>
      </c>
      <c r="C64" s="26" t="s">
        <v>9</v>
      </c>
      <c r="D64" s="16">
        <v>1</v>
      </c>
      <c r="E64" s="16">
        <f>F64</f>
        <v>0</v>
      </c>
      <c r="F64" s="16"/>
      <c r="G64" s="16" t="s">
        <v>12</v>
      </c>
      <c r="H64" s="16"/>
      <c r="I64" s="16" t="s">
        <v>63</v>
      </c>
      <c r="J64" s="16">
        <f>H64</f>
        <v>0</v>
      </c>
    </row>
    <row r="65" spans="1:12" x14ac:dyDescent="0.3">
      <c r="A65" s="24" t="str">
        <f>A64</f>
        <v>Grand Final</v>
      </c>
      <c r="B65" s="23">
        <f>B64</f>
        <v>46190</v>
      </c>
      <c r="C65" s="26" t="s">
        <v>9</v>
      </c>
      <c r="D65" s="16">
        <v>2</v>
      </c>
      <c r="E65" s="16">
        <f>F65</f>
        <v>0</v>
      </c>
      <c r="F65" s="16"/>
      <c r="G65" s="16" t="s">
        <v>12</v>
      </c>
      <c r="H65" s="16"/>
      <c r="I65" s="16" t="s">
        <v>63</v>
      </c>
      <c r="J65" s="16">
        <f>H65</f>
        <v>0</v>
      </c>
    </row>
    <row r="66" spans="1:12" x14ac:dyDescent="0.3">
      <c r="C66" s="28"/>
      <c r="D66" s="20"/>
      <c r="E66" s="20"/>
      <c r="F66" s="20"/>
      <c r="G66" s="20"/>
      <c r="H66" s="20"/>
      <c r="I66" s="20"/>
      <c r="J66" s="20"/>
    </row>
    <row r="68" spans="1:12" x14ac:dyDescent="0.3">
      <c r="A68" s="20" t="s">
        <v>64</v>
      </c>
      <c r="B68" s="20" t="s">
        <v>9</v>
      </c>
      <c r="C68" s="28" t="s">
        <v>14</v>
      </c>
      <c r="D68" s="28" t="s">
        <v>69</v>
      </c>
      <c r="E68" s="20">
        <v>1</v>
      </c>
      <c r="F68" s="20">
        <v>2</v>
      </c>
      <c r="G68" s="20" t="s">
        <v>66</v>
      </c>
      <c r="H68" s="20" t="s">
        <v>65</v>
      </c>
      <c r="I68" s="20" t="s">
        <v>68</v>
      </c>
      <c r="J68" s="20" t="s">
        <v>6</v>
      </c>
      <c r="K68" s="20" t="s">
        <v>67</v>
      </c>
    </row>
    <row r="69" spans="1:12" x14ac:dyDescent="0.3">
      <c r="A69" s="20" t="s">
        <v>51</v>
      </c>
      <c r="B69" s="20">
        <f>COUNTIFS($F$1:$F$59,$A69,$C$1:$C$59,B$68)+COUNTIFS($H$1:$H$59,$A69,$C$1:$C$59,B$68)</f>
        <v>8</v>
      </c>
      <c r="C69" s="20">
        <f>COUNTIFS($F$1:$F$59,$A69,$C$1:$C$59,C$68)+COUNTIFS($H$1:$H$59,$A69,$C$1:$C$59,C$68)</f>
        <v>6</v>
      </c>
      <c r="D69" s="28">
        <f>B69+C69</f>
        <v>14</v>
      </c>
      <c r="E69" s="20">
        <f>COUNTIFS($F$1:$F$59,$A69,$D$1:$D$59,E$68)+COUNTIFS($H$1:$H$59,$A69,$D$1:$D$59,E$68)</f>
        <v>7</v>
      </c>
      <c r="F69" s="20">
        <f>COUNTIFS($F$1:$F$59,$A69,$D$1:$D$59,F$68)+COUNTIFS($H$1:$H$59,$A69,$D$1:$D$59,F$68)</f>
        <v>7</v>
      </c>
      <c r="G69" s="20">
        <f>COUNTIF($E$2:$E$59,$A69)</f>
        <v>5</v>
      </c>
      <c r="H69" s="20">
        <f>COUNTIF($J$2:$J$59,$A69)</f>
        <v>3</v>
      </c>
      <c r="I69" s="20">
        <f>G69+H69</f>
        <v>8</v>
      </c>
      <c r="J69" s="20">
        <f>COUNTIF($I$2:$I$59,$A69)</f>
        <v>6</v>
      </c>
      <c r="K69" s="20">
        <f>I69+J69</f>
        <v>14</v>
      </c>
      <c r="L69" s="20"/>
    </row>
    <row r="70" spans="1:12" x14ac:dyDescent="0.3">
      <c r="A70" s="20" t="s">
        <v>45</v>
      </c>
      <c r="B70" s="20">
        <f t="shared" ref="B70:C76" si="3">COUNTIFS($F$1:$F$59,$A70,$C$1:$C$59,B$68)+COUNTIFS($H$1:$H$59,$A70,$C$1:$C$59,B$68)</f>
        <v>6</v>
      </c>
      <c r="C70" s="20">
        <f t="shared" si="3"/>
        <v>8</v>
      </c>
      <c r="D70" s="28">
        <f t="shared" ref="D70:D76" si="4">B70+C70</f>
        <v>14</v>
      </c>
      <c r="E70" s="20">
        <f t="shared" ref="E70:F76" si="5">COUNTIFS($F$1:$F$59,$A70,$D$1:$D$59,E$68)+COUNTIFS($H$1:$H$59,$A70,$D$1:$D$59,E$68)</f>
        <v>7</v>
      </c>
      <c r="F70" s="20">
        <f t="shared" si="5"/>
        <v>7</v>
      </c>
      <c r="G70" s="20">
        <f t="shared" ref="G70:G76" si="6">COUNTIF($E$2:$E$59,$A70)</f>
        <v>3</v>
      </c>
      <c r="H70" s="20">
        <f t="shared" ref="H70:H76" si="7">COUNTIF($J$2:$J$59,$A70)</f>
        <v>3</v>
      </c>
      <c r="I70" s="20">
        <f t="shared" ref="I70:I76" si="8">G70+H70</f>
        <v>6</v>
      </c>
      <c r="J70" s="20">
        <f t="shared" ref="J70:J76" si="9">COUNTIF($I$2:$I$59,$A70)</f>
        <v>8</v>
      </c>
      <c r="K70" s="20">
        <f t="shared" ref="K70:K76" si="10">I70+J70</f>
        <v>14</v>
      </c>
      <c r="L70" s="20"/>
    </row>
    <row r="71" spans="1:12" x14ac:dyDescent="0.3">
      <c r="A71" s="20" t="s">
        <v>48</v>
      </c>
      <c r="B71" s="20">
        <f t="shared" si="3"/>
        <v>6</v>
      </c>
      <c r="C71" s="20">
        <f t="shared" si="3"/>
        <v>8</v>
      </c>
      <c r="D71" s="28">
        <f t="shared" si="4"/>
        <v>14</v>
      </c>
      <c r="E71" s="20">
        <f t="shared" si="5"/>
        <v>7</v>
      </c>
      <c r="F71" s="20">
        <f t="shared" si="5"/>
        <v>7</v>
      </c>
      <c r="G71" s="20">
        <f t="shared" si="6"/>
        <v>3</v>
      </c>
      <c r="H71" s="20">
        <f t="shared" si="7"/>
        <v>5</v>
      </c>
      <c r="I71" s="20">
        <f t="shared" si="8"/>
        <v>8</v>
      </c>
      <c r="J71" s="20">
        <f t="shared" si="9"/>
        <v>6</v>
      </c>
      <c r="K71" s="20">
        <f t="shared" si="10"/>
        <v>14</v>
      </c>
      <c r="L71" s="20"/>
    </row>
    <row r="72" spans="1:12" x14ac:dyDescent="0.3">
      <c r="A72" s="20" t="s">
        <v>49</v>
      </c>
      <c r="B72" s="20">
        <f t="shared" si="3"/>
        <v>8</v>
      </c>
      <c r="C72" s="20">
        <f t="shared" si="3"/>
        <v>6</v>
      </c>
      <c r="D72" s="28">
        <f t="shared" si="4"/>
        <v>14</v>
      </c>
      <c r="E72" s="20">
        <f t="shared" si="5"/>
        <v>7</v>
      </c>
      <c r="F72" s="20">
        <f t="shared" si="5"/>
        <v>7</v>
      </c>
      <c r="G72" s="20">
        <f t="shared" si="6"/>
        <v>6</v>
      </c>
      <c r="H72" s="20">
        <f t="shared" si="7"/>
        <v>2</v>
      </c>
      <c r="I72" s="20">
        <f t="shared" si="8"/>
        <v>8</v>
      </c>
      <c r="J72" s="20">
        <f t="shared" si="9"/>
        <v>6</v>
      </c>
      <c r="K72" s="20">
        <f t="shared" si="10"/>
        <v>14</v>
      </c>
      <c r="L72" s="20"/>
    </row>
    <row r="73" spans="1:12" x14ac:dyDescent="0.3">
      <c r="A73" s="20" t="s">
        <v>47</v>
      </c>
      <c r="B73" s="20">
        <f t="shared" si="3"/>
        <v>8</v>
      </c>
      <c r="C73" s="20">
        <f t="shared" si="3"/>
        <v>6</v>
      </c>
      <c r="D73" s="28">
        <f t="shared" si="4"/>
        <v>14</v>
      </c>
      <c r="E73" s="20">
        <f t="shared" si="5"/>
        <v>7</v>
      </c>
      <c r="F73" s="20">
        <f t="shared" si="5"/>
        <v>7</v>
      </c>
      <c r="G73" s="20">
        <f t="shared" si="6"/>
        <v>3</v>
      </c>
      <c r="H73" s="20">
        <f t="shared" si="7"/>
        <v>3</v>
      </c>
      <c r="I73" s="20">
        <f t="shared" si="8"/>
        <v>6</v>
      </c>
      <c r="J73" s="20">
        <f t="shared" si="9"/>
        <v>8</v>
      </c>
      <c r="K73" s="20">
        <f t="shared" si="10"/>
        <v>14</v>
      </c>
      <c r="L73" s="20"/>
    </row>
    <row r="74" spans="1:12" x14ac:dyDescent="0.3">
      <c r="A74" s="20" t="s">
        <v>46</v>
      </c>
      <c r="B74" s="20">
        <f t="shared" si="3"/>
        <v>6</v>
      </c>
      <c r="C74" s="20">
        <f t="shared" si="3"/>
        <v>8</v>
      </c>
      <c r="D74" s="28">
        <f t="shared" si="4"/>
        <v>14</v>
      </c>
      <c r="E74" s="20">
        <f t="shared" si="5"/>
        <v>8</v>
      </c>
      <c r="F74" s="20">
        <f t="shared" si="5"/>
        <v>6</v>
      </c>
      <c r="G74" s="20">
        <f t="shared" si="6"/>
        <v>2</v>
      </c>
      <c r="H74" s="20">
        <f t="shared" si="7"/>
        <v>6</v>
      </c>
      <c r="I74" s="20">
        <f t="shared" si="8"/>
        <v>8</v>
      </c>
      <c r="J74" s="20">
        <f t="shared" si="9"/>
        <v>6</v>
      </c>
      <c r="K74" s="20">
        <f t="shared" si="10"/>
        <v>14</v>
      </c>
      <c r="L74" s="20"/>
    </row>
    <row r="75" spans="1:12" x14ac:dyDescent="0.3">
      <c r="A75" s="20" t="s">
        <v>50</v>
      </c>
      <c r="B75" s="20">
        <f t="shared" si="3"/>
        <v>6</v>
      </c>
      <c r="C75" s="20">
        <f t="shared" si="3"/>
        <v>8</v>
      </c>
      <c r="D75" s="28">
        <f t="shared" si="4"/>
        <v>14</v>
      </c>
      <c r="E75" s="20">
        <f t="shared" si="5"/>
        <v>7</v>
      </c>
      <c r="F75" s="20">
        <f t="shared" si="5"/>
        <v>7</v>
      </c>
      <c r="G75" s="20">
        <f t="shared" si="6"/>
        <v>4</v>
      </c>
      <c r="H75" s="20">
        <f t="shared" si="7"/>
        <v>2</v>
      </c>
      <c r="I75" s="20">
        <f t="shared" si="8"/>
        <v>6</v>
      </c>
      <c r="J75" s="20">
        <f t="shared" si="9"/>
        <v>8</v>
      </c>
      <c r="K75" s="20">
        <f t="shared" si="10"/>
        <v>14</v>
      </c>
      <c r="L75" s="20"/>
    </row>
    <row r="76" spans="1:12" x14ac:dyDescent="0.3">
      <c r="A76" s="20" t="s">
        <v>52</v>
      </c>
      <c r="B76" s="20">
        <f t="shared" si="3"/>
        <v>8</v>
      </c>
      <c r="C76" s="20">
        <f t="shared" si="3"/>
        <v>6</v>
      </c>
      <c r="D76" s="28">
        <f t="shared" si="4"/>
        <v>14</v>
      </c>
      <c r="E76" s="20">
        <f t="shared" si="5"/>
        <v>6</v>
      </c>
      <c r="F76" s="20">
        <f t="shared" si="5"/>
        <v>8</v>
      </c>
      <c r="G76" s="20">
        <f t="shared" si="6"/>
        <v>2</v>
      </c>
      <c r="H76" s="20">
        <f t="shared" si="7"/>
        <v>4</v>
      </c>
      <c r="I76" s="20">
        <f t="shared" si="8"/>
        <v>6</v>
      </c>
      <c r="J76" s="20">
        <f t="shared" si="9"/>
        <v>8</v>
      </c>
      <c r="K76" s="20">
        <f t="shared" si="10"/>
        <v>14</v>
      </c>
      <c r="L76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B3D3-8B85-416B-868A-D2BCC2F1E1F2}">
  <dimension ref="A1:J115"/>
  <sheetViews>
    <sheetView topLeftCell="A2" zoomScaleNormal="100" workbookViewId="0">
      <selection sqref="A1:XFD1"/>
    </sheetView>
  </sheetViews>
  <sheetFormatPr defaultColWidth="8.77734375" defaultRowHeight="15" customHeight="1" x14ac:dyDescent="0.3"/>
  <cols>
    <col min="1" max="1" width="11.109375" style="2" customWidth="1"/>
    <col min="2" max="2" width="10.44140625" style="31" customWidth="1"/>
    <col min="3" max="3" width="7.77734375" style="2" customWidth="1"/>
    <col min="4" max="4" width="11" style="2" customWidth="1"/>
    <col min="5" max="5" width="19.44140625" style="2" customWidth="1"/>
    <col min="6" max="6" width="19.21875" style="2" customWidth="1"/>
    <col min="7" max="7" width="4.21875" style="2" customWidth="1"/>
    <col min="8" max="10" width="19.21875" style="2" customWidth="1"/>
    <col min="11" max="12" width="8.77734375" style="2"/>
    <col min="13" max="13" width="19.77734375" style="2" bestFit="1" customWidth="1"/>
    <col min="14" max="16384" width="8.77734375" style="2"/>
  </cols>
  <sheetData>
    <row r="1" spans="1:10" customFormat="1" ht="16.2" customHeight="1" x14ac:dyDescent="0.3">
      <c r="A1" s="15" t="s">
        <v>60</v>
      </c>
      <c r="B1" s="15" t="s">
        <v>0</v>
      </c>
      <c r="C1" s="25" t="s">
        <v>1</v>
      </c>
      <c r="D1" s="15" t="s">
        <v>2</v>
      </c>
      <c r="E1" s="15" t="s">
        <v>3</v>
      </c>
      <c r="F1" s="15" t="s">
        <v>4</v>
      </c>
      <c r="G1" s="15"/>
      <c r="H1" s="15" t="s">
        <v>5</v>
      </c>
      <c r="I1" s="15" t="s">
        <v>6</v>
      </c>
      <c r="J1" s="15" t="s">
        <v>7</v>
      </c>
    </row>
    <row r="2" spans="1:10" ht="15" customHeight="1" x14ac:dyDescent="0.3">
      <c r="A2" s="4" t="s">
        <v>8</v>
      </c>
      <c r="B2" s="38">
        <v>46071</v>
      </c>
      <c r="C2" s="4" t="s">
        <v>9</v>
      </c>
      <c r="D2" s="4" t="s">
        <v>10</v>
      </c>
      <c r="E2" s="4" t="str">
        <f>F2</f>
        <v>CANT</v>
      </c>
      <c r="F2" s="5" t="s">
        <v>80</v>
      </c>
      <c r="G2" s="5" t="s">
        <v>12</v>
      </c>
      <c r="H2" s="5" t="s">
        <v>83</v>
      </c>
      <c r="I2" s="4" t="str">
        <f>F5</f>
        <v>Back In The Day</v>
      </c>
      <c r="J2" s="4"/>
    </row>
    <row r="3" spans="1:10" ht="15" customHeight="1" x14ac:dyDescent="0.3">
      <c r="A3" s="4" t="str">
        <f>A2</f>
        <v>Round 1</v>
      </c>
      <c r="B3" s="38">
        <f>B2</f>
        <v>46071</v>
      </c>
      <c r="C3" s="4" t="s">
        <v>9</v>
      </c>
      <c r="D3" s="4" t="s">
        <v>20</v>
      </c>
      <c r="E3" s="4" t="str">
        <f t="shared" ref="E3:E4" si="0">F3</f>
        <v>Ballers</v>
      </c>
      <c r="F3" s="7" t="s">
        <v>85</v>
      </c>
      <c r="G3" s="7" t="s">
        <v>12</v>
      </c>
      <c r="H3" s="7" t="s">
        <v>58</v>
      </c>
      <c r="I3" s="4" t="str">
        <f>F6</f>
        <v>Fitxroy Freaks</v>
      </c>
      <c r="J3" s="4"/>
    </row>
    <row r="4" spans="1:10" ht="15" customHeight="1" x14ac:dyDescent="0.3">
      <c r="A4" s="4" t="str">
        <f t="shared" ref="A4:B9" si="1">A3</f>
        <v>Round 1</v>
      </c>
      <c r="B4" s="38">
        <f t="shared" si="1"/>
        <v>46071</v>
      </c>
      <c r="C4" s="4" t="s">
        <v>9</v>
      </c>
      <c r="D4" s="4" t="s">
        <v>23</v>
      </c>
      <c r="E4" s="4" t="str">
        <f t="shared" si="0"/>
        <v>Wilsons</v>
      </c>
      <c r="F4" s="7" t="s">
        <v>56</v>
      </c>
      <c r="G4" s="7" t="s">
        <v>12</v>
      </c>
      <c r="H4" s="7" t="s">
        <v>91</v>
      </c>
      <c r="I4" s="4" t="str">
        <f>H6</f>
        <v>That's What She Set</v>
      </c>
      <c r="J4" s="4"/>
    </row>
    <row r="5" spans="1:10" ht="15" customHeight="1" x14ac:dyDescent="0.3">
      <c r="A5" s="4" t="str">
        <f t="shared" si="1"/>
        <v>Round 1</v>
      </c>
      <c r="B5" s="38">
        <f t="shared" si="1"/>
        <v>46071</v>
      </c>
      <c r="C5" s="4" t="s">
        <v>14</v>
      </c>
      <c r="D5" s="4" t="s">
        <v>10</v>
      </c>
      <c r="E5" s="4"/>
      <c r="F5" s="5" t="s">
        <v>79</v>
      </c>
      <c r="G5" s="5" t="s">
        <v>12</v>
      </c>
      <c r="H5" s="5" t="s">
        <v>82</v>
      </c>
      <c r="I5" s="4" t="str">
        <f>H2</f>
        <v>Mixed Mayhem</v>
      </c>
      <c r="J5" s="4"/>
    </row>
    <row r="6" spans="1:10" ht="15" customHeight="1" x14ac:dyDescent="0.3">
      <c r="A6" s="4" t="str">
        <f t="shared" si="1"/>
        <v>Round 1</v>
      </c>
      <c r="B6" s="38">
        <f t="shared" si="1"/>
        <v>46071</v>
      </c>
      <c r="C6" s="4" t="s">
        <v>14</v>
      </c>
      <c r="D6" s="4" t="s">
        <v>20</v>
      </c>
      <c r="E6" s="4"/>
      <c r="F6" s="7" t="s">
        <v>86</v>
      </c>
      <c r="G6" s="7" t="s">
        <v>12</v>
      </c>
      <c r="H6" s="7" t="s">
        <v>57</v>
      </c>
      <c r="I6" s="4" t="str">
        <f>H3</f>
        <v>Netflicks</v>
      </c>
      <c r="J6" s="4"/>
    </row>
    <row r="7" spans="1:10" ht="15" customHeight="1" x14ac:dyDescent="0.3">
      <c r="A7" s="4" t="str">
        <f t="shared" si="1"/>
        <v>Round 1</v>
      </c>
      <c r="B7" s="38">
        <f t="shared" si="1"/>
        <v>46071</v>
      </c>
      <c r="C7" s="4" t="s">
        <v>14</v>
      </c>
      <c r="D7" s="4" t="s">
        <v>23</v>
      </c>
      <c r="E7" s="4"/>
      <c r="F7" s="5" t="s">
        <v>55</v>
      </c>
      <c r="G7" s="5" t="s">
        <v>12</v>
      </c>
      <c r="H7" s="5" t="s">
        <v>59</v>
      </c>
      <c r="I7" s="4" t="str">
        <f>F8</f>
        <v>Pan Set</v>
      </c>
      <c r="J7" s="4" t="str">
        <f>F7</f>
        <v>Chewblockers</v>
      </c>
    </row>
    <row r="8" spans="1:10" ht="15" customHeight="1" x14ac:dyDescent="0.3">
      <c r="A8" s="4" t="str">
        <f t="shared" si="1"/>
        <v>Round 1</v>
      </c>
      <c r="B8" s="38">
        <f t="shared" si="1"/>
        <v>46071</v>
      </c>
      <c r="C8" s="4" t="s">
        <v>17</v>
      </c>
      <c r="D8" s="4" t="s">
        <v>10</v>
      </c>
      <c r="E8" s="4"/>
      <c r="F8" s="5" t="s">
        <v>84</v>
      </c>
      <c r="G8" s="5" t="s">
        <v>12</v>
      </c>
      <c r="H8" s="5" t="s">
        <v>81</v>
      </c>
      <c r="I8" s="4" t="str">
        <f>F7</f>
        <v>Chewblockers</v>
      </c>
      <c r="J8" s="4" t="str">
        <f>H8</f>
        <v>Casual Sets</v>
      </c>
    </row>
    <row r="9" spans="1:10" ht="15" customHeight="1" x14ac:dyDescent="0.3">
      <c r="A9" s="4" t="str">
        <f t="shared" si="1"/>
        <v>Round 1</v>
      </c>
      <c r="B9" s="38">
        <f t="shared" si="1"/>
        <v>46071</v>
      </c>
      <c r="C9" s="4" t="s">
        <v>17</v>
      </c>
      <c r="D9" s="4" t="s">
        <v>20</v>
      </c>
      <c r="E9" s="4"/>
      <c r="F9" s="7" t="s">
        <v>88</v>
      </c>
      <c r="G9" s="7" t="s">
        <v>12</v>
      </c>
      <c r="H9" s="7" t="s">
        <v>87</v>
      </c>
      <c r="I9" s="4" t="str">
        <f>H7</f>
        <v>Practice Safe Sets</v>
      </c>
      <c r="J9" s="4" t="str">
        <f>F9</f>
        <v>The Upsetters</v>
      </c>
    </row>
    <row r="10" spans="1:10" ht="15" customHeight="1" x14ac:dyDescent="0.3">
      <c r="A10" s="4" t="s">
        <v>24</v>
      </c>
      <c r="B10" s="38">
        <f>B2+7</f>
        <v>46078</v>
      </c>
      <c r="C10" s="11" t="s">
        <v>9</v>
      </c>
      <c r="D10" s="4" t="s">
        <v>10</v>
      </c>
      <c r="E10" s="4" t="str">
        <f t="shared" ref="E10:E52" si="2">F10</f>
        <v>Chewblockers</v>
      </c>
      <c r="F10" s="5" t="s">
        <v>55</v>
      </c>
      <c r="G10" s="5" t="s">
        <v>12</v>
      </c>
      <c r="H10" s="5" t="s">
        <v>80</v>
      </c>
      <c r="I10" s="4" t="str">
        <f>F13</f>
        <v>Fitzroy Ferals</v>
      </c>
      <c r="J10" s="4"/>
    </row>
    <row r="11" spans="1:10" ht="15" customHeight="1" x14ac:dyDescent="0.3">
      <c r="A11" s="4" t="str">
        <f>A10</f>
        <v>Round 2</v>
      </c>
      <c r="B11" s="38">
        <f>B10</f>
        <v>46078</v>
      </c>
      <c r="C11" s="11" t="s">
        <v>9</v>
      </c>
      <c r="D11" s="4" t="s">
        <v>20</v>
      </c>
      <c r="E11" s="4" t="str">
        <f t="shared" si="2"/>
        <v>Casual Sets</v>
      </c>
      <c r="F11" s="5" t="s">
        <v>81</v>
      </c>
      <c r="G11" s="5" t="s">
        <v>12</v>
      </c>
      <c r="H11" s="5" t="s">
        <v>83</v>
      </c>
      <c r="I11" s="4" t="str">
        <f>H13</f>
        <v>Practice Safe Sets</v>
      </c>
      <c r="J11" s="4"/>
    </row>
    <row r="12" spans="1:10" ht="15" customHeight="1" x14ac:dyDescent="0.3">
      <c r="A12" s="4" t="str">
        <f t="shared" ref="A12:B17" si="3">A11</f>
        <v>Round 2</v>
      </c>
      <c r="B12" s="38">
        <f t="shared" si="3"/>
        <v>46078</v>
      </c>
      <c r="C12" s="11" t="s">
        <v>9</v>
      </c>
      <c r="D12" s="4" t="s">
        <v>23</v>
      </c>
      <c r="E12" s="4" t="str">
        <f t="shared" si="2"/>
        <v>Wilsons</v>
      </c>
      <c r="F12" s="7" t="s">
        <v>56</v>
      </c>
      <c r="G12" s="7" t="s">
        <v>12</v>
      </c>
      <c r="H12" s="7" t="s">
        <v>86</v>
      </c>
      <c r="I12" s="4" t="str">
        <f>H15</f>
        <v>That's What She Set</v>
      </c>
      <c r="J12" s="4"/>
    </row>
    <row r="13" spans="1:10" ht="15" customHeight="1" x14ac:dyDescent="0.3">
      <c r="A13" s="4" t="str">
        <f t="shared" si="3"/>
        <v>Round 2</v>
      </c>
      <c r="B13" s="38">
        <f t="shared" si="3"/>
        <v>46078</v>
      </c>
      <c r="C13" s="4" t="s">
        <v>14</v>
      </c>
      <c r="D13" s="4" t="s">
        <v>10</v>
      </c>
      <c r="E13" s="4"/>
      <c r="F13" s="5" t="s">
        <v>82</v>
      </c>
      <c r="G13" s="5" t="s">
        <v>12</v>
      </c>
      <c r="H13" s="5" t="s">
        <v>59</v>
      </c>
      <c r="I13" s="4" t="str">
        <f>H10</f>
        <v>CANT</v>
      </c>
      <c r="J13" s="4"/>
    </row>
    <row r="14" spans="1:10" ht="15" customHeight="1" x14ac:dyDescent="0.3">
      <c r="A14" s="4" t="str">
        <f t="shared" si="3"/>
        <v>Round 2</v>
      </c>
      <c r="B14" s="38">
        <f t="shared" si="3"/>
        <v>46078</v>
      </c>
      <c r="C14" s="4" t="s">
        <v>14</v>
      </c>
      <c r="D14" s="4" t="s">
        <v>20</v>
      </c>
      <c r="E14" s="4"/>
      <c r="F14" s="5" t="s">
        <v>54</v>
      </c>
      <c r="G14" s="5" t="s">
        <v>12</v>
      </c>
      <c r="H14" s="5" t="s">
        <v>84</v>
      </c>
      <c r="I14" s="4" t="str">
        <f>H11</f>
        <v>Mixed Mayhem</v>
      </c>
      <c r="J14" s="4"/>
    </row>
    <row r="15" spans="1:10" ht="15" customHeight="1" x14ac:dyDescent="0.3">
      <c r="A15" s="4" t="str">
        <f t="shared" si="3"/>
        <v>Round 2</v>
      </c>
      <c r="B15" s="38">
        <f t="shared" si="3"/>
        <v>46078</v>
      </c>
      <c r="C15" s="4" t="s">
        <v>14</v>
      </c>
      <c r="D15" s="4" t="s">
        <v>23</v>
      </c>
      <c r="E15" s="4"/>
      <c r="F15" s="7" t="s">
        <v>87</v>
      </c>
      <c r="G15" s="7" t="s">
        <v>12</v>
      </c>
      <c r="H15" s="7" t="s">
        <v>57</v>
      </c>
      <c r="I15" s="4" t="str">
        <f>H12</f>
        <v>Fitxroy Freaks</v>
      </c>
      <c r="J15" s="4" t="str">
        <f>F15</f>
        <v>Fitxroy Rejects</v>
      </c>
    </row>
    <row r="16" spans="1:10" ht="15" customHeight="1" x14ac:dyDescent="0.3">
      <c r="A16" s="4" t="str">
        <f t="shared" si="3"/>
        <v>Round 2</v>
      </c>
      <c r="B16" s="38">
        <f t="shared" si="3"/>
        <v>46078</v>
      </c>
      <c r="C16" s="4" t="s">
        <v>17</v>
      </c>
      <c r="D16" s="4" t="s">
        <v>10</v>
      </c>
      <c r="E16" s="4"/>
      <c r="F16" s="7" t="s">
        <v>58</v>
      </c>
      <c r="G16" s="7" t="s">
        <v>12</v>
      </c>
      <c r="H16" s="7" t="s">
        <v>91</v>
      </c>
      <c r="I16" s="4" t="str">
        <f>F14</f>
        <v>Dunlop Volley</v>
      </c>
      <c r="J16" s="4" t="str">
        <f>F16</f>
        <v>Netflicks</v>
      </c>
    </row>
    <row r="17" spans="1:10" ht="15" customHeight="1" x14ac:dyDescent="0.3">
      <c r="A17" s="4" t="str">
        <f t="shared" si="3"/>
        <v>Round 2</v>
      </c>
      <c r="B17" s="38">
        <f t="shared" si="3"/>
        <v>46078</v>
      </c>
      <c r="C17" s="4" t="s">
        <v>17</v>
      </c>
      <c r="D17" s="4" t="s">
        <v>20</v>
      </c>
      <c r="E17" s="4"/>
      <c r="F17" s="7" t="s">
        <v>85</v>
      </c>
      <c r="G17" s="7" t="s">
        <v>12</v>
      </c>
      <c r="H17" s="7" t="s">
        <v>88</v>
      </c>
      <c r="I17" s="4" t="str">
        <f>H14</f>
        <v>Pan Set</v>
      </c>
      <c r="J17" s="4" t="str">
        <f>F17</f>
        <v>Ballers</v>
      </c>
    </row>
    <row r="18" spans="1:10" ht="15" customHeight="1" x14ac:dyDescent="0.3">
      <c r="A18" s="4" t="s">
        <v>25</v>
      </c>
      <c r="B18" s="38">
        <f>B10+7</f>
        <v>46085</v>
      </c>
      <c r="C18" s="11" t="s">
        <v>9</v>
      </c>
      <c r="D18" s="4" t="s">
        <v>10</v>
      </c>
      <c r="E18" s="4" t="str">
        <f t="shared" ref="E18" si="4">F18</f>
        <v>That's What She Set</v>
      </c>
      <c r="F18" s="7" t="s">
        <v>57</v>
      </c>
      <c r="G18" s="7" t="s">
        <v>12</v>
      </c>
      <c r="H18" s="7" t="s">
        <v>85</v>
      </c>
      <c r="I18" s="4" t="str">
        <f>F23</f>
        <v>Whoopsies</v>
      </c>
      <c r="J18" s="4"/>
    </row>
    <row r="19" spans="1:10" ht="15" customHeight="1" x14ac:dyDescent="0.3">
      <c r="A19" s="4" t="str">
        <f>A18</f>
        <v>Round 3</v>
      </c>
      <c r="B19" s="38">
        <f t="shared" ref="B19:B33" si="5">B18</f>
        <v>46085</v>
      </c>
      <c r="C19" s="11" t="s">
        <v>9</v>
      </c>
      <c r="D19" s="4" t="s">
        <v>20</v>
      </c>
      <c r="E19" s="4" t="str">
        <f t="shared" si="2"/>
        <v>Wilsons</v>
      </c>
      <c r="F19" s="7" t="s">
        <v>56</v>
      </c>
      <c r="G19" s="7" t="s">
        <v>12</v>
      </c>
      <c r="H19" s="7" t="s">
        <v>58</v>
      </c>
      <c r="I19" s="4" t="str">
        <f>H23</f>
        <v>The Upsetters</v>
      </c>
      <c r="J19" s="4"/>
    </row>
    <row r="20" spans="1:10" ht="15" customHeight="1" x14ac:dyDescent="0.3">
      <c r="A20" s="4" t="str">
        <f t="shared" ref="A20:A25" si="6">A19</f>
        <v>Round 3</v>
      </c>
      <c r="B20" s="38">
        <f t="shared" si="5"/>
        <v>46085</v>
      </c>
      <c r="C20" s="11" t="s">
        <v>9</v>
      </c>
      <c r="D20" s="4" t="s">
        <v>23</v>
      </c>
      <c r="E20" s="4" t="str">
        <f t="shared" si="2"/>
        <v>Fitxroy Freaks</v>
      </c>
      <c r="F20" s="7" t="s">
        <v>86</v>
      </c>
      <c r="G20" s="7" t="s">
        <v>12</v>
      </c>
      <c r="H20" s="7" t="s">
        <v>87</v>
      </c>
      <c r="I20" s="4" t="str">
        <f>F21</f>
        <v>Practice Safe Sets</v>
      </c>
      <c r="J20" s="4"/>
    </row>
    <row r="21" spans="1:10" ht="15" customHeight="1" x14ac:dyDescent="0.3">
      <c r="A21" s="4" t="str">
        <f t="shared" si="6"/>
        <v>Round 3</v>
      </c>
      <c r="B21" s="38">
        <f t="shared" si="5"/>
        <v>46085</v>
      </c>
      <c r="C21" s="4" t="s">
        <v>14</v>
      </c>
      <c r="D21" s="4" t="s">
        <v>10</v>
      </c>
      <c r="E21" s="4"/>
      <c r="F21" s="5" t="s">
        <v>59</v>
      </c>
      <c r="G21" s="5" t="s">
        <v>12</v>
      </c>
      <c r="H21" s="5" t="s">
        <v>84</v>
      </c>
      <c r="I21" s="4" t="str">
        <f>F25</f>
        <v>Casual Sets</v>
      </c>
      <c r="J21" s="4"/>
    </row>
    <row r="22" spans="1:10" ht="15" customHeight="1" x14ac:dyDescent="0.3">
      <c r="A22" s="4" t="str">
        <f t="shared" si="6"/>
        <v>Round 3</v>
      </c>
      <c r="B22" s="38">
        <f t="shared" si="5"/>
        <v>46085</v>
      </c>
      <c r="C22" s="4" t="s">
        <v>14</v>
      </c>
      <c r="D22" s="4" t="s">
        <v>20</v>
      </c>
      <c r="E22" s="4"/>
      <c r="F22" s="5" t="s">
        <v>55</v>
      </c>
      <c r="G22" s="5" t="s">
        <v>12</v>
      </c>
      <c r="H22" s="5" t="s">
        <v>82</v>
      </c>
      <c r="I22" s="4" t="str">
        <f>H25</f>
        <v>Dunlop Volley</v>
      </c>
      <c r="J22" s="4"/>
    </row>
    <row r="23" spans="1:10" ht="15" customHeight="1" x14ac:dyDescent="0.3">
      <c r="A23" s="4" t="str">
        <f t="shared" si="6"/>
        <v>Round 3</v>
      </c>
      <c r="B23" s="38">
        <f t="shared" si="5"/>
        <v>46085</v>
      </c>
      <c r="C23" s="4" t="s">
        <v>14</v>
      </c>
      <c r="D23" s="4" t="s">
        <v>23</v>
      </c>
      <c r="E23" s="4"/>
      <c r="F23" s="7" t="s">
        <v>91</v>
      </c>
      <c r="G23" s="7" t="s">
        <v>12</v>
      </c>
      <c r="H23" s="7" t="s">
        <v>88</v>
      </c>
      <c r="I23" s="4" t="str">
        <f>H20</f>
        <v>Fitxroy Rejects</v>
      </c>
      <c r="J23" s="4" t="str">
        <f t="shared" ref="J23:J25" si="7">H23</f>
        <v>The Upsetters</v>
      </c>
    </row>
    <row r="24" spans="1:10" ht="15" customHeight="1" x14ac:dyDescent="0.3">
      <c r="A24" s="4" t="str">
        <f t="shared" si="6"/>
        <v>Round 3</v>
      </c>
      <c r="B24" s="38">
        <f t="shared" si="5"/>
        <v>46085</v>
      </c>
      <c r="C24" s="4" t="s">
        <v>17</v>
      </c>
      <c r="D24" s="4" t="s">
        <v>10</v>
      </c>
      <c r="E24" s="4"/>
      <c r="F24" s="5" t="s">
        <v>79</v>
      </c>
      <c r="G24" s="5" t="s">
        <v>12</v>
      </c>
      <c r="H24" s="5" t="s">
        <v>83</v>
      </c>
      <c r="I24" s="4" t="str">
        <f>F22</f>
        <v>Chewblockers</v>
      </c>
      <c r="J24" s="4" t="str">
        <f t="shared" si="7"/>
        <v>Mixed Mayhem</v>
      </c>
    </row>
    <row r="25" spans="1:10" ht="15" customHeight="1" x14ac:dyDescent="0.3">
      <c r="A25" s="4" t="str">
        <f t="shared" si="6"/>
        <v>Round 3</v>
      </c>
      <c r="B25" s="38">
        <f t="shared" si="5"/>
        <v>46085</v>
      </c>
      <c r="C25" s="4" t="s">
        <v>17</v>
      </c>
      <c r="D25" s="4" t="s">
        <v>20</v>
      </c>
      <c r="E25" s="4"/>
      <c r="F25" s="5" t="s">
        <v>81</v>
      </c>
      <c r="G25" s="5" t="s">
        <v>12</v>
      </c>
      <c r="H25" s="5" t="s">
        <v>54</v>
      </c>
      <c r="I25" s="4" t="str">
        <f>H22</f>
        <v>Fitzroy Ferals</v>
      </c>
      <c r="J25" s="4" t="str">
        <f t="shared" si="7"/>
        <v>Dunlop Volley</v>
      </c>
    </row>
    <row r="26" spans="1:10" ht="15" customHeight="1" x14ac:dyDescent="0.3">
      <c r="A26" s="4" t="s">
        <v>26</v>
      </c>
      <c r="B26" s="38">
        <f>B18+7</f>
        <v>46092</v>
      </c>
      <c r="C26" s="11" t="s">
        <v>9</v>
      </c>
      <c r="D26" s="4" t="s">
        <v>10</v>
      </c>
      <c r="E26" s="4" t="str">
        <f t="shared" ref="E26" si="8">F26</f>
        <v>Back In The Day</v>
      </c>
      <c r="F26" s="5" t="s">
        <v>79</v>
      </c>
      <c r="G26" s="5" t="s">
        <v>12</v>
      </c>
      <c r="H26" s="5" t="s">
        <v>54</v>
      </c>
      <c r="I26" s="4" t="str">
        <f>F29</f>
        <v>Practice Safe Sets</v>
      </c>
      <c r="J26" s="4"/>
    </row>
    <row r="27" spans="1:10" ht="15" customHeight="1" x14ac:dyDescent="0.3">
      <c r="A27" s="4" t="str">
        <f>A26</f>
        <v>Round 4</v>
      </c>
      <c r="B27" s="38">
        <f t="shared" ref="B27" si="9">B26</f>
        <v>46092</v>
      </c>
      <c r="C27" s="11" t="s">
        <v>9</v>
      </c>
      <c r="D27" s="4" t="s">
        <v>20</v>
      </c>
      <c r="E27" s="4" t="str">
        <f t="shared" si="2"/>
        <v>Pan Set</v>
      </c>
      <c r="F27" s="5" t="s">
        <v>84</v>
      </c>
      <c r="G27" s="5" t="s">
        <v>12</v>
      </c>
      <c r="H27" s="5" t="s">
        <v>55</v>
      </c>
      <c r="I27" s="4" t="str">
        <f>H29</f>
        <v>Mixed Mayhem</v>
      </c>
      <c r="J27" s="4"/>
    </row>
    <row r="28" spans="1:10" ht="15" customHeight="1" x14ac:dyDescent="0.3">
      <c r="A28" s="4" t="str">
        <f t="shared" ref="A28:A33" si="10">A27</f>
        <v>Round 4</v>
      </c>
      <c r="B28" s="38">
        <f t="shared" si="5"/>
        <v>46092</v>
      </c>
      <c r="C28" s="11" t="s">
        <v>9</v>
      </c>
      <c r="D28" s="4" t="s">
        <v>23</v>
      </c>
      <c r="E28" s="4" t="str">
        <f t="shared" si="2"/>
        <v>Fitxroy Rejects</v>
      </c>
      <c r="F28" s="7" t="s">
        <v>87</v>
      </c>
      <c r="G28" s="7" t="s">
        <v>12</v>
      </c>
      <c r="H28" s="7" t="s">
        <v>85</v>
      </c>
      <c r="I28" s="4" t="str">
        <f>F30</f>
        <v>The Upsetters</v>
      </c>
      <c r="J28" s="4"/>
    </row>
    <row r="29" spans="1:10" ht="15" customHeight="1" x14ac:dyDescent="0.3">
      <c r="A29" s="4" t="str">
        <f t="shared" si="10"/>
        <v>Round 4</v>
      </c>
      <c r="B29" s="38">
        <f t="shared" si="5"/>
        <v>46092</v>
      </c>
      <c r="C29" s="4" t="s">
        <v>14</v>
      </c>
      <c r="D29" s="4" t="s">
        <v>10</v>
      </c>
      <c r="E29" s="4"/>
      <c r="F29" s="5" t="s">
        <v>59</v>
      </c>
      <c r="G29" s="5" t="s">
        <v>12</v>
      </c>
      <c r="H29" s="5" t="s">
        <v>83</v>
      </c>
      <c r="I29" s="4" t="str">
        <f>F32</f>
        <v>Fitzroy Ferals</v>
      </c>
      <c r="J29" s="4"/>
    </row>
    <row r="30" spans="1:10" ht="15" customHeight="1" x14ac:dyDescent="0.3">
      <c r="A30" s="4" t="str">
        <f t="shared" si="10"/>
        <v>Round 4</v>
      </c>
      <c r="B30" s="38">
        <f t="shared" si="5"/>
        <v>46092</v>
      </c>
      <c r="C30" s="4" t="s">
        <v>14</v>
      </c>
      <c r="D30" s="4" t="s">
        <v>20</v>
      </c>
      <c r="E30" s="4"/>
      <c r="F30" s="7" t="s">
        <v>88</v>
      </c>
      <c r="G30" s="7" t="s">
        <v>12</v>
      </c>
      <c r="H30" s="7" t="s">
        <v>56</v>
      </c>
      <c r="I30" s="4" t="str">
        <f>H28</f>
        <v>Ballers</v>
      </c>
      <c r="J30" s="4"/>
    </row>
    <row r="31" spans="1:10" ht="15" customHeight="1" x14ac:dyDescent="0.3">
      <c r="A31" s="4" t="str">
        <f t="shared" si="10"/>
        <v>Round 4</v>
      </c>
      <c r="B31" s="38">
        <f t="shared" si="5"/>
        <v>46092</v>
      </c>
      <c r="C31" s="4" t="s">
        <v>14</v>
      </c>
      <c r="D31" s="4" t="s">
        <v>23</v>
      </c>
      <c r="E31" s="4"/>
      <c r="F31" s="7" t="s">
        <v>91</v>
      </c>
      <c r="G31" s="7" t="s">
        <v>12</v>
      </c>
      <c r="H31" s="7" t="s">
        <v>57</v>
      </c>
      <c r="I31" s="4" t="str">
        <f>H27</f>
        <v>Chewblockers</v>
      </c>
      <c r="J31" s="4" t="str">
        <f t="shared" ref="J31:J33" si="11">H31</f>
        <v>That's What She Set</v>
      </c>
    </row>
    <row r="32" spans="1:10" ht="15" customHeight="1" x14ac:dyDescent="0.3">
      <c r="A32" s="4" t="str">
        <f t="shared" si="10"/>
        <v>Round 4</v>
      </c>
      <c r="B32" s="38">
        <f t="shared" si="5"/>
        <v>46092</v>
      </c>
      <c r="C32" s="11" t="s">
        <v>17</v>
      </c>
      <c r="D32" s="4" t="s">
        <v>10</v>
      </c>
      <c r="E32" s="4"/>
      <c r="F32" s="5" t="s">
        <v>82</v>
      </c>
      <c r="G32" s="5" t="s">
        <v>12</v>
      </c>
      <c r="H32" s="5" t="s">
        <v>80</v>
      </c>
      <c r="I32" s="4" t="str">
        <f>F31</f>
        <v>Whoopsies</v>
      </c>
      <c r="J32" s="4" t="str">
        <f>F32</f>
        <v>Fitzroy Ferals</v>
      </c>
    </row>
    <row r="33" spans="1:10" ht="15" customHeight="1" x14ac:dyDescent="0.3">
      <c r="A33" s="4" t="str">
        <f t="shared" si="10"/>
        <v>Round 4</v>
      </c>
      <c r="B33" s="38">
        <f t="shared" si="5"/>
        <v>46092</v>
      </c>
      <c r="C33" s="11" t="s">
        <v>17</v>
      </c>
      <c r="D33" s="4" t="s">
        <v>20</v>
      </c>
      <c r="E33" s="4"/>
      <c r="F33" s="7" t="s">
        <v>58</v>
      </c>
      <c r="G33" s="7" t="s">
        <v>12</v>
      </c>
      <c r="H33" s="7" t="s">
        <v>86</v>
      </c>
      <c r="I33" s="4" t="str">
        <f>H30</f>
        <v>Wilsons</v>
      </c>
      <c r="J33" s="4" t="str">
        <f t="shared" si="11"/>
        <v>Fitxroy Freaks</v>
      </c>
    </row>
    <row r="34" spans="1:10" ht="15" customHeight="1" x14ac:dyDescent="0.3">
      <c r="A34" s="4" t="s">
        <v>27</v>
      </c>
      <c r="B34" s="38">
        <f>B26+7</f>
        <v>46099</v>
      </c>
      <c r="C34" s="4" t="s">
        <v>9</v>
      </c>
      <c r="D34" s="4" t="s">
        <v>10</v>
      </c>
      <c r="E34" s="4" t="str">
        <f>F34</f>
        <v>Wilsons</v>
      </c>
      <c r="F34" s="7" t="s">
        <v>56</v>
      </c>
      <c r="G34" s="7" t="s">
        <v>12</v>
      </c>
      <c r="H34" s="7" t="s">
        <v>57</v>
      </c>
      <c r="I34" s="4" t="str">
        <f>F39</f>
        <v>Fitxroy Rejects</v>
      </c>
      <c r="J34" s="4"/>
    </row>
    <row r="35" spans="1:10" ht="15" customHeight="1" x14ac:dyDescent="0.3">
      <c r="A35" s="4" t="str">
        <f>A34</f>
        <v>Round 5</v>
      </c>
      <c r="B35" s="38">
        <f t="shared" ref="B35:B41" si="12">B34</f>
        <v>46099</v>
      </c>
      <c r="C35" s="11" t="s">
        <v>9</v>
      </c>
      <c r="D35" s="4" t="s">
        <v>20</v>
      </c>
      <c r="E35" s="4" t="str">
        <f>F35</f>
        <v>Fitxroy Freaks</v>
      </c>
      <c r="F35" s="7" t="s">
        <v>86</v>
      </c>
      <c r="G35" s="7" t="s">
        <v>12</v>
      </c>
      <c r="H35" s="7" t="s">
        <v>85</v>
      </c>
      <c r="I35" s="4" t="str">
        <f>H39</f>
        <v>Whoopsies</v>
      </c>
      <c r="J35" s="4"/>
    </row>
    <row r="36" spans="1:10" ht="15" customHeight="1" x14ac:dyDescent="0.3">
      <c r="A36" s="4" t="str">
        <f t="shared" ref="A36:A41" si="13">A35</f>
        <v>Round 5</v>
      </c>
      <c r="B36" s="38">
        <f t="shared" si="12"/>
        <v>46099</v>
      </c>
      <c r="C36" s="11" t="s">
        <v>9</v>
      </c>
      <c r="D36" s="4" t="s">
        <v>23</v>
      </c>
      <c r="E36" s="4" t="str">
        <f>H36</f>
        <v>Netflicks</v>
      </c>
      <c r="F36" s="7" t="s">
        <v>88</v>
      </c>
      <c r="G36" s="7" t="s">
        <v>12</v>
      </c>
      <c r="H36" s="7" t="s">
        <v>58</v>
      </c>
      <c r="I36" s="4" t="str">
        <f>F37</f>
        <v>CANT</v>
      </c>
      <c r="J36" s="4"/>
    </row>
    <row r="37" spans="1:10" ht="15" customHeight="1" x14ac:dyDescent="0.3">
      <c r="A37" s="4" t="str">
        <f t="shared" si="13"/>
        <v>Round 5</v>
      </c>
      <c r="B37" s="38">
        <f t="shared" si="12"/>
        <v>46099</v>
      </c>
      <c r="C37" s="4" t="s">
        <v>14</v>
      </c>
      <c r="D37" s="4" t="s">
        <v>10</v>
      </c>
      <c r="E37" s="4"/>
      <c r="F37" s="5" t="s">
        <v>80</v>
      </c>
      <c r="G37" s="5" t="s">
        <v>12</v>
      </c>
      <c r="H37" s="5" t="s">
        <v>79</v>
      </c>
      <c r="I37" s="4" t="str">
        <f>F40</f>
        <v>Casual Sets</v>
      </c>
      <c r="J37" s="4"/>
    </row>
    <row r="38" spans="1:10" ht="15" customHeight="1" x14ac:dyDescent="0.3">
      <c r="A38" s="4" t="str">
        <f t="shared" si="13"/>
        <v>Round 5</v>
      </c>
      <c r="B38" s="38">
        <f t="shared" si="12"/>
        <v>46099</v>
      </c>
      <c r="C38" s="4" t="s">
        <v>14</v>
      </c>
      <c r="D38" s="4" t="s">
        <v>20</v>
      </c>
      <c r="E38" s="4"/>
      <c r="F38" s="5" t="s">
        <v>54</v>
      </c>
      <c r="G38" s="5" t="s">
        <v>12</v>
      </c>
      <c r="H38" s="5" t="s">
        <v>84</v>
      </c>
      <c r="I38" s="4" t="str">
        <f>F41</f>
        <v>Chewblockers</v>
      </c>
      <c r="J38" s="4"/>
    </row>
    <row r="39" spans="1:10" ht="15" customHeight="1" x14ac:dyDescent="0.3">
      <c r="A39" s="4" t="str">
        <f t="shared" si="13"/>
        <v>Round 5</v>
      </c>
      <c r="B39" s="38">
        <f t="shared" si="12"/>
        <v>46099</v>
      </c>
      <c r="C39" s="4" t="s">
        <v>14</v>
      </c>
      <c r="D39" s="4" t="s">
        <v>23</v>
      </c>
      <c r="E39" s="4"/>
      <c r="F39" s="7" t="s">
        <v>87</v>
      </c>
      <c r="G39" s="7" t="s">
        <v>12</v>
      </c>
      <c r="H39" s="7" t="s">
        <v>91</v>
      </c>
      <c r="I39" s="4" t="str">
        <f>H36</f>
        <v>Netflicks</v>
      </c>
      <c r="J39" s="4" t="str">
        <f t="shared" ref="J39:J41" si="14">H39</f>
        <v>Whoopsies</v>
      </c>
    </row>
    <row r="40" spans="1:10" ht="15" customHeight="1" x14ac:dyDescent="0.3">
      <c r="A40" s="4" t="str">
        <f t="shared" si="13"/>
        <v>Round 5</v>
      </c>
      <c r="B40" s="38">
        <f t="shared" si="12"/>
        <v>46099</v>
      </c>
      <c r="C40" s="11" t="s">
        <v>17</v>
      </c>
      <c r="D40" s="4" t="s">
        <v>10</v>
      </c>
      <c r="E40" s="4"/>
      <c r="F40" s="5" t="s">
        <v>81</v>
      </c>
      <c r="G40" s="5" t="s">
        <v>12</v>
      </c>
      <c r="H40" s="5" t="s">
        <v>59</v>
      </c>
      <c r="I40" s="4" t="str">
        <f>H37</f>
        <v>Back In The Day</v>
      </c>
      <c r="J40" s="4" t="str">
        <f t="shared" si="14"/>
        <v>Practice Safe Sets</v>
      </c>
    </row>
    <row r="41" spans="1:10" ht="15" customHeight="1" x14ac:dyDescent="0.3">
      <c r="A41" s="4" t="str">
        <f t="shared" si="13"/>
        <v>Round 5</v>
      </c>
      <c r="B41" s="38">
        <f t="shared" si="12"/>
        <v>46099</v>
      </c>
      <c r="C41" s="11" t="s">
        <v>17</v>
      </c>
      <c r="D41" s="4" t="s">
        <v>20</v>
      </c>
      <c r="E41" s="4"/>
      <c r="F41" s="5" t="s">
        <v>55</v>
      </c>
      <c r="G41" s="5" t="s">
        <v>12</v>
      </c>
      <c r="H41" s="5" t="s">
        <v>83</v>
      </c>
      <c r="I41" s="4" t="str">
        <f>H38</f>
        <v>Pan Set</v>
      </c>
      <c r="J41" s="4" t="str">
        <f t="shared" si="14"/>
        <v>Mixed Mayhem</v>
      </c>
    </row>
    <row r="42" spans="1:10" ht="15" customHeight="1" x14ac:dyDescent="0.3">
      <c r="A42" s="4" t="s">
        <v>28</v>
      </c>
      <c r="B42" s="38">
        <f>B34+7</f>
        <v>46106</v>
      </c>
      <c r="C42" s="4" t="s">
        <v>9</v>
      </c>
      <c r="D42" s="4" t="s">
        <v>10</v>
      </c>
      <c r="E42" s="4" t="str">
        <f t="shared" ref="E42" si="15">F42</f>
        <v>Pan Set</v>
      </c>
      <c r="F42" s="5" t="s">
        <v>84</v>
      </c>
      <c r="G42" s="5" t="s">
        <v>12</v>
      </c>
      <c r="H42" s="5" t="s">
        <v>80</v>
      </c>
      <c r="I42" s="4" t="str">
        <f>F45</f>
        <v>Dunlop Volley</v>
      </c>
      <c r="J42" s="4"/>
    </row>
    <row r="43" spans="1:10" ht="15" customHeight="1" x14ac:dyDescent="0.3">
      <c r="A43" s="4" t="str">
        <f>A42</f>
        <v>Round 6</v>
      </c>
      <c r="B43" s="38">
        <f t="shared" ref="B43:B49" si="16">B42</f>
        <v>46106</v>
      </c>
      <c r="C43" s="4" t="s">
        <v>9</v>
      </c>
      <c r="D43" s="4" t="s">
        <v>20</v>
      </c>
      <c r="E43" s="4" t="str">
        <f t="shared" si="2"/>
        <v>Practice Safe Sets</v>
      </c>
      <c r="F43" s="5" t="s">
        <v>59</v>
      </c>
      <c r="G43" s="5" t="s">
        <v>12</v>
      </c>
      <c r="H43" s="5" t="s">
        <v>79</v>
      </c>
      <c r="I43" s="4" t="str">
        <f>F46</f>
        <v>Chewblockers</v>
      </c>
      <c r="J43" s="4"/>
    </row>
    <row r="44" spans="1:10" ht="15" customHeight="1" x14ac:dyDescent="0.3">
      <c r="A44" s="4" t="str">
        <f t="shared" ref="A44:A49" si="17">A43</f>
        <v>Round 6</v>
      </c>
      <c r="B44" s="38">
        <f t="shared" si="16"/>
        <v>46106</v>
      </c>
      <c r="C44" s="4" t="s">
        <v>9</v>
      </c>
      <c r="D44" s="4" t="s">
        <v>23</v>
      </c>
      <c r="E44" s="4" t="str">
        <f t="shared" si="2"/>
        <v>The Upsetters</v>
      </c>
      <c r="F44" s="7" t="s">
        <v>88</v>
      </c>
      <c r="G44" s="7" t="s">
        <v>12</v>
      </c>
      <c r="H44" s="7" t="s">
        <v>86</v>
      </c>
      <c r="I44" s="4" t="str">
        <f>F47</f>
        <v>Ballers</v>
      </c>
      <c r="J44" s="4"/>
    </row>
    <row r="45" spans="1:10" ht="15" customHeight="1" x14ac:dyDescent="0.3">
      <c r="A45" s="4" t="str">
        <f t="shared" si="17"/>
        <v>Round 6</v>
      </c>
      <c r="B45" s="38">
        <f t="shared" si="16"/>
        <v>46106</v>
      </c>
      <c r="C45" s="4" t="s">
        <v>14</v>
      </c>
      <c r="D45" s="4" t="s">
        <v>10</v>
      </c>
      <c r="E45" s="4"/>
      <c r="F45" s="5" t="s">
        <v>54</v>
      </c>
      <c r="G45" s="5" t="s">
        <v>12</v>
      </c>
      <c r="H45" s="5" t="s">
        <v>82</v>
      </c>
      <c r="I45" s="4" t="str">
        <f>H42</f>
        <v>CANT</v>
      </c>
      <c r="J45" s="4"/>
    </row>
    <row r="46" spans="1:10" ht="15" customHeight="1" x14ac:dyDescent="0.3">
      <c r="A46" s="4" t="str">
        <f t="shared" si="17"/>
        <v>Round 6</v>
      </c>
      <c r="B46" s="38">
        <f t="shared" si="16"/>
        <v>46106</v>
      </c>
      <c r="C46" s="4" t="s">
        <v>14</v>
      </c>
      <c r="D46" s="4" t="s">
        <v>20</v>
      </c>
      <c r="E46" s="4"/>
      <c r="F46" s="5" t="s">
        <v>55</v>
      </c>
      <c r="G46" s="5" t="s">
        <v>12</v>
      </c>
      <c r="H46" s="5" t="s">
        <v>81</v>
      </c>
      <c r="I46" s="4" t="str">
        <f>H43</f>
        <v>Back In The Day</v>
      </c>
      <c r="J46" s="4"/>
    </row>
    <row r="47" spans="1:10" ht="15" customHeight="1" x14ac:dyDescent="0.3">
      <c r="A47" s="4" t="str">
        <f t="shared" si="17"/>
        <v>Round 6</v>
      </c>
      <c r="B47" s="38">
        <f t="shared" si="16"/>
        <v>46106</v>
      </c>
      <c r="C47" s="4" t="s">
        <v>14</v>
      </c>
      <c r="D47" s="4" t="s">
        <v>23</v>
      </c>
      <c r="E47" s="4"/>
      <c r="F47" s="7" t="s">
        <v>85</v>
      </c>
      <c r="G47" s="7" t="s">
        <v>12</v>
      </c>
      <c r="H47" s="7" t="s">
        <v>91</v>
      </c>
      <c r="I47" s="4" t="str">
        <f>H44</f>
        <v>Fitxroy Freaks</v>
      </c>
      <c r="J47" s="4" t="str">
        <f t="shared" ref="J47:J49" si="18">H47</f>
        <v>Whoopsies</v>
      </c>
    </row>
    <row r="48" spans="1:10" ht="15" customHeight="1" x14ac:dyDescent="0.3">
      <c r="A48" s="4" t="str">
        <f t="shared" si="17"/>
        <v>Round 6</v>
      </c>
      <c r="B48" s="38">
        <f t="shared" si="16"/>
        <v>46106</v>
      </c>
      <c r="C48" s="4" t="s">
        <v>17</v>
      </c>
      <c r="D48" s="4" t="s">
        <v>10</v>
      </c>
      <c r="E48" s="4"/>
      <c r="F48" s="7" t="s">
        <v>57</v>
      </c>
      <c r="G48" s="7" t="s">
        <v>12</v>
      </c>
      <c r="H48" s="7" t="s">
        <v>58</v>
      </c>
      <c r="I48" s="4" t="str">
        <f>H45</f>
        <v>Fitzroy Ferals</v>
      </c>
      <c r="J48" s="4" t="str">
        <f t="shared" si="18"/>
        <v>Netflicks</v>
      </c>
    </row>
    <row r="49" spans="1:10" ht="15" customHeight="1" x14ac:dyDescent="0.3">
      <c r="A49" s="4" t="str">
        <f t="shared" si="17"/>
        <v>Round 6</v>
      </c>
      <c r="B49" s="38">
        <f t="shared" si="16"/>
        <v>46106</v>
      </c>
      <c r="C49" s="4" t="s">
        <v>17</v>
      </c>
      <c r="D49" s="4" t="s">
        <v>20</v>
      </c>
      <c r="E49" s="4"/>
      <c r="F49" s="7" t="s">
        <v>56</v>
      </c>
      <c r="G49" s="7" t="s">
        <v>12</v>
      </c>
      <c r="H49" s="7" t="s">
        <v>87</v>
      </c>
      <c r="I49" s="4" t="str">
        <f>H46</f>
        <v>Casual Sets</v>
      </c>
      <c r="J49" s="4" t="str">
        <f t="shared" si="18"/>
        <v>Fitxroy Rejects</v>
      </c>
    </row>
    <row r="50" spans="1:10" ht="15" customHeight="1" x14ac:dyDescent="0.3">
      <c r="A50" s="4" t="s">
        <v>29</v>
      </c>
      <c r="B50" s="38">
        <f>B42+7</f>
        <v>46113</v>
      </c>
      <c r="C50" s="4" t="s">
        <v>9</v>
      </c>
      <c r="D50" s="4" t="s">
        <v>10</v>
      </c>
      <c r="E50" s="4" t="str">
        <f t="shared" ref="E50" si="19">F50</f>
        <v>Fitzroy Ferals</v>
      </c>
      <c r="F50" s="5" t="s">
        <v>82</v>
      </c>
      <c r="G50" s="5" t="s">
        <v>12</v>
      </c>
      <c r="H50" s="5" t="s">
        <v>81</v>
      </c>
      <c r="I50" s="4" t="str">
        <f>F53</f>
        <v>Dunlop Volley</v>
      </c>
      <c r="J50" s="4"/>
    </row>
    <row r="51" spans="1:10" ht="15" customHeight="1" x14ac:dyDescent="0.3">
      <c r="A51" s="4" t="str">
        <f>A50</f>
        <v>Round 7</v>
      </c>
      <c r="B51" s="38">
        <f t="shared" ref="B51:B99" si="20">B50</f>
        <v>46113</v>
      </c>
      <c r="C51" s="4" t="s">
        <v>9</v>
      </c>
      <c r="D51" s="4" t="s">
        <v>20</v>
      </c>
      <c r="E51" s="4" t="str">
        <f t="shared" si="2"/>
        <v>Netflicks</v>
      </c>
      <c r="F51" s="7" t="s">
        <v>58</v>
      </c>
      <c r="G51" s="7" t="s">
        <v>12</v>
      </c>
      <c r="H51" s="7" t="s">
        <v>87</v>
      </c>
      <c r="I51" s="4" t="str">
        <f>F55</f>
        <v>Ballers</v>
      </c>
      <c r="J51" s="4"/>
    </row>
    <row r="52" spans="1:10" ht="15" customHeight="1" x14ac:dyDescent="0.3">
      <c r="A52" s="4" t="str">
        <f t="shared" ref="A52:A57" si="21">A51</f>
        <v>Round 7</v>
      </c>
      <c r="B52" s="38">
        <f t="shared" si="20"/>
        <v>46113</v>
      </c>
      <c r="C52" s="4" t="s">
        <v>9</v>
      </c>
      <c r="D52" s="4" t="s">
        <v>23</v>
      </c>
      <c r="E52" s="4" t="str">
        <f t="shared" si="2"/>
        <v>The Upsetters</v>
      </c>
      <c r="F52" s="7" t="s">
        <v>88</v>
      </c>
      <c r="G52" s="7" t="s">
        <v>12</v>
      </c>
      <c r="H52" s="7" t="s">
        <v>56</v>
      </c>
      <c r="I52" s="4" t="str">
        <f>H55</f>
        <v>That's What She Set</v>
      </c>
      <c r="J52" s="4"/>
    </row>
    <row r="53" spans="1:10" ht="15" customHeight="1" x14ac:dyDescent="0.3">
      <c r="A53" s="4" t="str">
        <f t="shared" si="21"/>
        <v>Round 7</v>
      </c>
      <c r="B53" s="38">
        <f t="shared" si="20"/>
        <v>46113</v>
      </c>
      <c r="C53" s="4" t="s">
        <v>14</v>
      </c>
      <c r="D53" s="4" t="s">
        <v>10</v>
      </c>
      <c r="E53" s="4"/>
      <c r="F53" s="5" t="s">
        <v>54</v>
      </c>
      <c r="G53" s="5" t="s">
        <v>12</v>
      </c>
      <c r="H53" s="5" t="s">
        <v>55</v>
      </c>
      <c r="I53" s="4" t="str">
        <f>H50</f>
        <v>Casual Sets</v>
      </c>
      <c r="J53" s="4"/>
    </row>
    <row r="54" spans="1:10" ht="15" customHeight="1" x14ac:dyDescent="0.3">
      <c r="A54" s="4" t="str">
        <f t="shared" si="21"/>
        <v>Round 7</v>
      </c>
      <c r="B54" s="38">
        <f t="shared" si="20"/>
        <v>46113</v>
      </c>
      <c r="C54" s="4" t="s">
        <v>14</v>
      </c>
      <c r="D54" s="4" t="s">
        <v>20</v>
      </c>
      <c r="E54" s="4"/>
      <c r="F54" s="5" t="s">
        <v>79</v>
      </c>
      <c r="G54" s="5" t="s">
        <v>12</v>
      </c>
      <c r="H54" s="5" t="s">
        <v>83</v>
      </c>
      <c r="I54" s="4" t="str">
        <f>H56</f>
        <v>Practice Safe Sets</v>
      </c>
      <c r="J54" s="4"/>
    </row>
    <row r="55" spans="1:10" ht="15" customHeight="1" x14ac:dyDescent="0.3">
      <c r="A55" s="4" t="str">
        <f t="shared" si="21"/>
        <v>Round 7</v>
      </c>
      <c r="B55" s="38">
        <f t="shared" si="20"/>
        <v>46113</v>
      </c>
      <c r="C55" s="4" t="s">
        <v>14</v>
      </c>
      <c r="D55" s="4" t="s">
        <v>23</v>
      </c>
      <c r="E55" s="4"/>
      <c r="F55" s="7" t="s">
        <v>85</v>
      </c>
      <c r="G55" s="7" t="s">
        <v>12</v>
      </c>
      <c r="H55" s="7" t="s">
        <v>57</v>
      </c>
      <c r="I55" s="4" t="str">
        <f>H52</f>
        <v>Wilsons</v>
      </c>
      <c r="J55" s="4" t="str">
        <f t="shared" ref="J55:J57" si="22">H55</f>
        <v>That's What She Set</v>
      </c>
    </row>
    <row r="56" spans="1:10" ht="15" customHeight="1" x14ac:dyDescent="0.3">
      <c r="A56" s="4" t="str">
        <f t="shared" si="21"/>
        <v>Round 7</v>
      </c>
      <c r="B56" s="38">
        <f t="shared" si="20"/>
        <v>46113</v>
      </c>
      <c r="C56" s="4" t="s">
        <v>17</v>
      </c>
      <c r="D56" s="4" t="s">
        <v>10</v>
      </c>
      <c r="E56" s="4"/>
      <c r="F56" s="5" t="s">
        <v>80</v>
      </c>
      <c r="G56" s="5" t="s">
        <v>12</v>
      </c>
      <c r="H56" s="5" t="s">
        <v>59</v>
      </c>
      <c r="I56" s="4" t="str">
        <f>F54</f>
        <v>Back In The Day</v>
      </c>
      <c r="J56" s="4" t="str">
        <f>F56</f>
        <v>CANT</v>
      </c>
    </row>
    <row r="57" spans="1:10" ht="15" customHeight="1" x14ac:dyDescent="0.3">
      <c r="A57" s="4" t="str">
        <f t="shared" si="21"/>
        <v>Round 7</v>
      </c>
      <c r="B57" s="38">
        <f t="shared" si="20"/>
        <v>46113</v>
      </c>
      <c r="C57" s="4" t="s">
        <v>17</v>
      </c>
      <c r="D57" s="4" t="s">
        <v>20</v>
      </c>
      <c r="E57" s="4"/>
      <c r="F57" s="7" t="s">
        <v>86</v>
      </c>
      <c r="G57" s="7" t="s">
        <v>12</v>
      </c>
      <c r="H57" s="7" t="s">
        <v>91</v>
      </c>
      <c r="I57" s="4" t="str">
        <f>H54</f>
        <v>Mixed Mayhem</v>
      </c>
      <c r="J57" s="4" t="str">
        <f t="shared" si="22"/>
        <v>Whoopsies</v>
      </c>
    </row>
    <row r="58" spans="1:10" ht="15" customHeight="1" x14ac:dyDescent="0.3">
      <c r="A58" s="34" t="s">
        <v>61</v>
      </c>
      <c r="B58" s="9">
        <f>B55+7</f>
        <v>46120</v>
      </c>
      <c r="C58" s="35"/>
      <c r="D58" s="34"/>
      <c r="E58" s="34"/>
      <c r="F58" s="34"/>
      <c r="G58" s="34"/>
      <c r="H58" s="34"/>
      <c r="I58" s="34"/>
      <c r="J58" s="34"/>
    </row>
    <row r="59" spans="1:10" ht="15" customHeight="1" x14ac:dyDescent="0.3">
      <c r="A59" s="34" t="str">
        <f t="shared" ref="A59" si="23">A58</f>
        <v>Holidays</v>
      </c>
      <c r="B59" s="9">
        <f>B58+7</f>
        <v>46127</v>
      </c>
      <c r="C59" s="35"/>
      <c r="D59" s="34"/>
      <c r="E59" s="34"/>
      <c r="F59" s="34"/>
      <c r="G59" s="34"/>
      <c r="H59" s="34"/>
      <c r="I59" s="34"/>
      <c r="J59" s="34"/>
    </row>
    <row r="60" spans="1:10" ht="15" customHeight="1" x14ac:dyDescent="0.3">
      <c r="A60" s="4" t="s">
        <v>34</v>
      </c>
      <c r="B60" s="38">
        <f>B59+7</f>
        <v>46134</v>
      </c>
      <c r="C60" s="4" t="s">
        <v>9</v>
      </c>
      <c r="D60" s="4" t="s">
        <v>10</v>
      </c>
      <c r="E60" s="4" t="str">
        <f>F60</f>
        <v>CANT</v>
      </c>
      <c r="F60" s="5" t="s">
        <v>80</v>
      </c>
      <c r="G60" s="5" t="s">
        <v>12</v>
      </c>
      <c r="H60" s="5" t="s">
        <v>83</v>
      </c>
      <c r="I60" s="4" t="str">
        <f>F63</f>
        <v>Back In The Day</v>
      </c>
      <c r="J60" s="4"/>
    </row>
    <row r="61" spans="1:10" ht="15" customHeight="1" x14ac:dyDescent="0.3">
      <c r="A61" s="4" t="str">
        <f>A60</f>
        <v>Round 8</v>
      </c>
      <c r="B61" s="38">
        <f t="shared" si="20"/>
        <v>46134</v>
      </c>
      <c r="C61" s="4" t="s">
        <v>9</v>
      </c>
      <c r="D61" s="4" t="s">
        <v>20</v>
      </c>
      <c r="E61" s="4" t="str">
        <f t="shared" ref="E61:E62" si="24">F61</f>
        <v>Ballers</v>
      </c>
      <c r="F61" s="7" t="s">
        <v>85</v>
      </c>
      <c r="G61" s="7" t="s">
        <v>12</v>
      </c>
      <c r="H61" s="7" t="s">
        <v>58</v>
      </c>
      <c r="I61" s="4" t="str">
        <f>F64</f>
        <v>The Upsetters</v>
      </c>
      <c r="J61" s="4"/>
    </row>
    <row r="62" spans="1:10" ht="15" customHeight="1" x14ac:dyDescent="0.3">
      <c r="A62" s="4" t="str">
        <f t="shared" ref="A62:A67" si="25">A61</f>
        <v>Round 8</v>
      </c>
      <c r="B62" s="38">
        <f t="shared" si="20"/>
        <v>46134</v>
      </c>
      <c r="C62" s="4" t="s">
        <v>9</v>
      </c>
      <c r="D62" s="4" t="s">
        <v>23</v>
      </c>
      <c r="E62" s="4" t="str">
        <f t="shared" si="24"/>
        <v>Fitxroy Freaks</v>
      </c>
      <c r="F62" s="7" t="s">
        <v>86</v>
      </c>
      <c r="G62" s="7" t="s">
        <v>12</v>
      </c>
      <c r="H62" s="7" t="s">
        <v>57</v>
      </c>
      <c r="I62" s="4" t="str">
        <f>H64</f>
        <v>Fitxroy Rejects</v>
      </c>
      <c r="J62" s="4"/>
    </row>
    <row r="63" spans="1:10" ht="15" customHeight="1" x14ac:dyDescent="0.3">
      <c r="A63" s="4" t="str">
        <f t="shared" si="25"/>
        <v>Round 8</v>
      </c>
      <c r="B63" s="38">
        <f t="shared" si="20"/>
        <v>46134</v>
      </c>
      <c r="C63" s="4" t="s">
        <v>14</v>
      </c>
      <c r="D63" s="4" t="s">
        <v>10</v>
      </c>
      <c r="E63" s="4"/>
      <c r="F63" s="5" t="s">
        <v>79</v>
      </c>
      <c r="G63" s="5" t="s">
        <v>12</v>
      </c>
      <c r="H63" s="5" t="s">
        <v>82</v>
      </c>
      <c r="I63" s="4" t="str">
        <f>H60</f>
        <v>Mixed Mayhem</v>
      </c>
      <c r="J63" s="4"/>
    </row>
    <row r="64" spans="1:10" ht="15" customHeight="1" x14ac:dyDescent="0.3">
      <c r="A64" s="4" t="str">
        <f t="shared" si="25"/>
        <v>Round 8</v>
      </c>
      <c r="B64" s="38">
        <f t="shared" si="20"/>
        <v>46134</v>
      </c>
      <c r="C64" s="4" t="s">
        <v>14</v>
      </c>
      <c r="D64" s="4" t="s">
        <v>20</v>
      </c>
      <c r="E64" s="4"/>
      <c r="F64" s="7" t="s">
        <v>88</v>
      </c>
      <c r="G64" s="7" t="s">
        <v>12</v>
      </c>
      <c r="H64" s="7" t="s">
        <v>87</v>
      </c>
      <c r="I64" s="4" t="str">
        <f>H61</f>
        <v>Netflicks</v>
      </c>
      <c r="J64" s="4"/>
    </row>
    <row r="65" spans="1:10" ht="15" customHeight="1" x14ac:dyDescent="0.3">
      <c r="A65" s="4" t="str">
        <f t="shared" si="25"/>
        <v>Round 8</v>
      </c>
      <c r="B65" s="38">
        <f t="shared" si="20"/>
        <v>46134</v>
      </c>
      <c r="C65" s="4" t="s">
        <v>14</v>
      </c>
      <c r="D65" s="4" t="s">
        <v>23</v>
      </c>
      <c r="E65" s="4"/>
      <c r="F65" s="5" t="s">
        <v>54</v>
      </c>
      <c r="G65" s="5" t="s">
        <v>12</v>
      </c>
      <c r="H65" s="5" t="s">
        <v>59</v>
      </c>
      <c r="I65" s="4" t="str">
        <f>F66</f>
        <v>Pan Set</v>
      </c>
      <c r="J65" s="4" t="str">
        <f>F65</f>
        <v>Dunlop Volley</v>
      </c>
    </row>
    <row r="66" spans="1:10" ht="15" customHeight="1" x14ac:dyDescent="0.3">
      <c r="A66" s="4" t="str">
        <f t="shared" si="25"/>
        <v>Round 8</v>
      </c>
      <c r="B66" s="38">
        <f t="shared" si="20"/>
        <v>46134</v>
      </c>
      <c r="C66" s="4" t="s">
        <v>17</v>
      </c>
      <c r="D66" s="4" t="s">
        <v>10</v>
      </c>
      <c r="E66" s="4"/>
      <c r="F66" s="5" t="s">
        <v>84</v>
      </c>
      <c r="G66" s="5" t="s">
        <v>12</v>
      </c>
      <c r="H66" s="5" t="s">
        <v>81</v>
      </c>
      <c r="I66" s="4" t="str">
        <f>F65</f>
        <v>Dunlop Volley</v>
      </c>
      <c r="J66" s="4" t="str">
        <f>H66</f>
        <v>Casual Sets</v>
      </c>
    </row>
    <row r="67" spans="1:10" ht="15" customHeight="1" x14ac:dyDescent="0.3">
      <c r="A67" s="4" t="str">
        <f t="shared" si="25"/>
        <v>Round 8</v>
      </c>
      <c r="B67" s="38">
        <f t="shared" si="20"/>
        <v>46134</v>
      </c>
      <c r="C67" s="4" t="s">
        <v>17</v>
      </c>
      <c r="D67" s="4" t="s">
        <v>20</v>
      </c>
      <c r="E67" s="4"/>
      <c r="F67" s="7" t="s">
        <v>56</v>
      </c>
      <c r="G67" s="7" t="s">
        <v>12</v>
      </c>
      <c r="H67" s="7" t="s">
        <v>91</v>
      </c>
      <c r="I67" s="4" t="str">
        <f>H65</f>
        <v>Practice Safe Sets</v>
      </c>
      <c r="J67" s="4" t="str">
        <f>F67</f>
        <v>Wilsons</v>
      </c>
    </row>
    <row r="68" spans="1:10" ht="15" customHeight="1" x14ac:dyDescent="0.3">
      <c r="A68" s="4" t="s">
        <v>35</v>
      </c>
      <c r="B68" s="38">
        <f>B60+7</f>
        <v>46141</v>
      </c>
      <c r="C68" s="11" t="s">
        <v>9</v>
      </c>
      <c r="D68" s="4" t="s">
        <v>10</v>
      </c>
      <c r="E68" s="4" t="str">
        <f t="shared" ref="E68:E86" si="26">F68</f>
        <v>Chewblockers</v>
      </c>
      <c r="F68" s="5" t="s">
        <v>55</v>
      </c>
      <c r="G68" s="5" t="s">
        <v>12</v>
      </c>
      <c r="H68" s="5" t="s">
        <v>80</v>
      </c>
      <c r="I68" s="4" t="str">
        <f>F71</f>
        <v>Fitzroy Ferals</v>
      </c>
      <c r="J68" s="4"/>
    </row>
    <row r="69" spans="1:10" ht="15" customHeight="1" x14ac:dyDescent="0.3">
      <c r="A69" s="4" t="str">
        <f>A68</f>
        <v>Round 9</v>
      </c>
      <c r="B69" s="38">
        <f t="shared" si="20"/>
        <v>46141</v>
      </c>
      <c r="C69" s="11" t="s">
        <v>9</v>
      </c>
      <c r="D69" s="4" t="s">
        <v>20</v>
      </c>
      <c r="E69" s="4" t="str">
        <f t="shared" si="26"/>
        <v>Mixed Mayhem</v>
      </c>
      <c r="F69" s="5" t="s">
        <v>83</v>
      </c>
      <c r="G69" s="5" t="s">
        <v>12</v>
      </c>
      <c r="H69" s="5" t="s">
        <v>81</v>
      </c>
      <c r="I69" s="4" t="str">
        <f>H71</f>
        <v>Dunlop Volley</v>
      </c>
      <c r="J69" s="4"/>
    </row>
    <row r="70" spans="1:10" ht="15" customHeight="1" x14ac:dyDescent="0.3">
      <c r="A70" s="4" t="str">
        <f t="shared" ref="A70:A75" si="27">A69</f>
        <v>Round 9</v>
      </c>
      <c r="B70" s="38">
        <f t="shared" si="20"/>
        <v>46141</v>
      </c>
      <c r="C70" s="11" t="s">
        <v>9</v>
      </c>
      <c r="D70" s="4" t="s">
        <v>23</v>
      </c>
      <c r="E70" s="4" t="str">
        <f t="shared" si="26"/>
        <v>Netflicks</v>
      </c>
      <c r="F70" s="7" t="s">
        <v>58</v>
      </c>
      <c r="G70" s="7" t="s">
        <v>12</v>
      </c>
      <c r="H70" s="7" t="s">
        <v>91</v>
      </c>
      <c r="I70" s="4" t="str">
        <f>H73</f>
        <v>That's What She Set</v>
      </c>
      <c r="J70" s="4"/>
    </row>
    <row r="71" spans="1:10" ht="15" customHeight="1" x14ac:dyDescent="0.3">
      <c r="A71" s="4" t="str">
        <f t="shared" si="27"/>
        <v>Round 9</v>
      </c>
      <c r="B71" s="38">
        <f t="shared" si="20"/>
        <v>46141</v>
      </c>
      <c r="C71" s="4" t="s">
        <v>14</v>
      </c>
      <c r="D71" s="4" t="s">
        <v>10</v>
      </c>
      <c r="E71" s="4"/>
      <c r="F71" s="5" t="s">
        <v>82</v>
      </c>
      <c r="G71" s="5" t="s">
        <v>12</v>
      </c>
      <c r="H71" s="5" t="s">
        <v>54</v>
      </c>
      <c r="I71" s="4" t="str">
        <f>H68</f>
        <v>CANT</v>
      </c>
      <c r="J71" s="4"/>
    </row>
    <row r="72" spans="1:10" ht="15" customHeight="1" x14ac:dyDescent="0.3">
      <c r="A72" s="4" t="str">
        <f t="shared" si="27"/>
        <v>Round 9</v>
      </c>
      <c r="B72" s="38">
        <f t="shared" si="20"/>
        <v>46141</v>
      </c>
      <c r="C72" s="4" t="s">
        <v>14</v>
      </c>
      <c r="D72" s="4" t="s">
        <v>20</v>
      </c>
      <c r="E72" s="4"/>
      <c r="F72" s="5" t="s">
        <v>79</v>
      </c>
      <c r="G72" s="5" t="s">
        <v>12</v>
      </c>
      <c r="H72" s="5" t="s">
        <v>84</v>
      </c>
      <c r="I72" s="4" t="str">
        <f>H69</f>
        <v>Casual Sets</v>
      </c>
      <c r="J72" s="4"/>
    </row>
    <row r="73" spans="1:10" ht="15" customHeight="1" x14ac:dyDescent="0.3">
      <c r="A73" s="4" t="str">
        <f t="shared" si="27"/>
        <v>Round 9</v>
      </c>
      <c r="B73" s="38">
        <f t="shared" si="20"/>
        <v>46141</v>
      </c>
      <c r="C73" s="4" t="s">
        <v>14</v>
      </c>
      <c r="D73" s="4" t="s">
        <v>23</v>
      </c>
      <c r="E73" s="4"/>
      <c r="F73" s="7" t="s">
        <v>87</v>
      </c>
      <c r="G73" s="7" t="s">
        <v>12</v>
      </c>
      <c r="H73" s="7" t="s">
        <v>57</v>
      </c>
      <c r="I73" s="4" t="str">
        <f>H70</f>
        <v>Whoopsies</v>
      </c>
      <c r="J73" s="4" t="str">
        <f>F73</f>
        <v>Fitxroy Rejects</v>
      </c>
    </row>
    <row r="74" spans="1:10" ht="15" customHeight="1" x14ac:dyDescent="0.3">
      <c r="A74" s="4" t="str">
        <f t="shared" si="27"/>
        <v>Round 9</v>
      </c>
      <c r="B74" s="38">
        <f t="shared" si="20"/>
        <v>46141</v>
      </c>
      <c r="C74" s="4" t="s">
        <v>17</v>
      </c>
      <c r="D74" s="4" t="s">
        <v>10</v>
      </c>
      <c r="E74" s="4"/>
      <c r="F74" s="7" t="s">
        <v>56</v>
      </c>
      <c r="G74" s="7" t="s">
        <v>12</v>
      </c>
      <c r="H74" s="7" t="s">
        <v>86</v>
      </c>
      <c r="I74" s="4" t="str">
        <f>F72</f>
        <v>Back In The Day</v>
      </c>
      <c r="J74" s="4" t="str">
        <f>F74</f>
        <v>Wilsons</v>
      </c>
    </row>
    <row r="75" spans="1:10" ht="15" customHeight="1" x14ac:dyDescent="0.3">
      <c r="A75" s="4" t="str">
        <f t="shared" si="27"/>
        <v>Round 9</v>
      </c>
      <c r="B75" s="38">
        <f t="shared" si="20"/>
        <v>46141</v>
      </c>
      <c r="C75" s="4" t="s">
        <v>17</v>
      </c>
      <c r="D75" s="4" t="s">
        <v>20</v>
      </c>
      <c r="E75" s="4"/>
      <c r="F75" s="7" t="s">
        <v>85</v>
      </c>
      <c r="G75" s="7" t="s">
        <v>12</v>
      </c>
      <c r="H75" s="7" t="s">
        <v>88</v>
      </c>
      <c r="I75" s="4" t="str">
        <f>H72</f>
        <v>Pan Set</v>
      </c>
      <c r="J75" s="4" t="str">
        <f>F75</f>
        <v>Ballers</v>
      </c>
    </row>
    <row r="76" spans="1:10" ht="15" customHeight="1" x14ac:dyDescent="0.3">
      <c r="A76" s="4" t="s">
        <v>36</v>
      </c>
      <c r="B76" s="38">
        <f>B68+7</f>
        <v>46148</v>
      </c>
      <c r="C76" s="11" t="s">
        <v>9</v>
      </c>
      <c r="D76" s="4" t="s">
        <v>10</v>
      </c>
      <c r="E76" s="4" t="str">
        <f t="shared" ref="E76" si="28">F76</f>
        <v>That's What She Set</v>
      </c>
      <c r="F76" s="7" t="s">
        <v>57</v>
      </c>
      <c r="G76" s="7" t="s">
        <v>12</v>
      </c>
      <c r="H76" s="7" t="s">
        <v>85</v>
      </c>
      <c r="I76" s="4" t="str">
        <f>F81</f>
        <v>Fitxroy Freaks</v>
      </c>
      <c r="J76" s="4"/>
    </row>
    <row r="77" spans="1:10" ht="15" customHeight="1" x14ac:dyDescent="0.3">
      <c r="A77" s="4" t="str">
        <f>A76</f>
        <v>Round 10</v>
      </c>
      <c r="B77" s="38">
        <f t="shared" si="20"/>
        <v>46148</v>
      </c>
      <c r="C77" s="11" t="s">
        <v>9</v>
      </c>
      <c r="D77" s="4" t="s">
        <v>20</v>
      </c>
      <c r="E77" s="4" t="str">
        <f t="shared" si="26"/>
        <v>Wilsons</v>
      </c>
      <c r="F77" s="7" t="s">
        <v>56</v>
      </c>
      <c r="G77" s="7" t="s">
        <v>12</v>
      </c>
      <c r="H77" s="7" t="s">
        <v>58</v>
      </c>
      <c r="I77" s="4" t="str">
        <f>H81</f>
        <v>Fitxroy Rejects</v>
      </c>
      <c r="J77" s="4"/>
    </row>
    <row r="78" spans="1:10" ht="15" customHeight="1" x14ac:dyDescent="0.3">
      <c r="A78" s="4" t="str">
        <f t="shared" ref="A78:A83" si="29">A77</f>
        <v>Round 10</v>
      </c>
      <c r="B78" s="38">
        <f t="shared" si="20"/>
        <v>46148</v>
      </c>
      <c r="C78" s="11" t="s">
        <v>9</v>
      </c>
      <c r="D78" s="4" t="s">
        <v>23</v>
      </c>
      <c r="E78" s="4" t="str">
        <f t="shared" si="26"/>
        <v>Whoopsies</v>
      </c>
      <c r="F78" s="7" t="s">
        <v>91</v>
      </c>
      <c r="G78" s="7" t="s">
        <v>12</v>
      </c>
      <c r="H78" s="7" t="s">
        <v>88</v>
      </c>
      <c r="I78" s="4" t="str">
        <f>H79</f>
        <v>Pan Set</v>
      </c>
      <c r="J78" s="4"/>
    </row>
    <row r="79" spans="1:10" ht="15" customHeight="1" x14ac:dyDescent="0.3">
      <c r="A79" s="4" t="str">
        <f t="shared" si="29"/>
        <v>Round 10</v>
      </c>
      <c r="B79" s="38">
        <f t="shared" si="20"/>
        <v>46148</v>
      </c>
      <c r="C79" s="4" t="s">
        <v>14</v>
      </c>
      <c r="D79" s="4" t="s">
        <v>10</v>
      </c>
      <c r="E79" s="4"/>
      <c r="F79" s="5" t="s">
        <v>59</v>
      </c>
      <c r="G79" s="5" t="s">
        <v>12</v>
      </c>
      <c r="H79" s="5" t="s">
        <v>84</v>
      </c>
      <c r="I79" s="4" t="str">
        <f>F83</f>
        <v>Casual Sets</v>
      </c>
      <c r="J79" s="4"/>
    </row>
    <row r="80" spans="1:10" ht="15" customHeight="1" x14ac:dyDescent="0.3">
      <c r="A80" s="4" t="str">
        <f t="shared" si="29"/>
        <v>Round 10</v>
      </c>
      <c r="B80" s="38">
        <f t="shared" si="20"/>
        <v>46148</v>
      </c>
      <c r="C80" s="4" t="s">
        <v>14</v>
      </c>
      <c r="D80" s="4" t="s">
        <v>20</v>
      </c>
      <c r="E80" s="4"/>
      <c r="F80" s="5" t="s">
        <v>55</v>
      </c>
      <c r="G80" s="5" t="s">
        <v>12</v>
      </c>
      <c r="H80" s="5" t="s">
        <v>82</v>
      </c>
      <c r="I80" s="4" t="str">
        <f>H83</f>
        <v>CANT</v>
      </c>
      <c r="J80" s="4"/>
    </row>
    <row r="81" spans="1:10" ht="15" customHeight="1" x14ac:dyDescent="0.3">
      <c r="A81" s="4" t="str">
        <f t="shared" si="29"/>
        <v>Round 10</v>
      </c>
      <c r="B81" s="38">
        <f t="shared" si="20"/>
        <v>46148</v>
      </c>
      <c r="C81" s="4" t="s">
        <v>14</v>
      </c>
      <c r="D81" s="4" t="s">
        <v>23</v>
      </c>
      <c r="E81" s="4"/>
      <c r="F81" s="7" t="s">
        <v>86</v>
      </c>
      <c r="G81" s="7" t="s">
        <v>12</v>
      </c>
      <c r="H81" s="7" t="s">
        <v>87</v>
      </c>
      <c r="I81" s="4" t="str">
        <f>H78</f>
        <v>The Upsetters</v>
      </c>
      <c r="J81" s="4" t="str">
        <f t="shared" ref="J81:J83" si="30">H81</f>
        <v>Fitxroy Rejects</v>
      </c>
    </row>
    <row r="82" spans="1:10" ht="15" customHeight="1" x14ac:dyDescent="0.3">
      <c r="A82" s="4" t="str">
        <f t="shared" si="29"/>
        <v>Round 10</v>
      </c>
      <c r="B82" s="38">
        <f t="shared" si="20"/>
        <v>46148</v>
      </c>
      <c r="C82" s="4" t="s">
        <v>17</v>
      </c>
      <c r="D82" s="4" t="s">
        <v>10</v>
      </c>
      <c r="E82" s="4"/>
      <c r="F82" s="5" t="s">
        <v>79</v>
      </c>
      <c r="G82" s="5" t="s">
        <v>12</v>
      </c>
      <c r="H82" s="5" t="s">
        <v>83</v>
      </c>
      <c r="I82" s="4" t="str">
        <f>F80</f>
        <v>Chewblockers</v>
      </c>
      <c r="J82" s="4" t="str">
        <f t="shared" si="30"/>
        <v>Mixed Mayhem</v>
      </c>
    </row>
    <row r="83" spans="1:10" ht="15" customHeight="1" x14ac:dyDescent="0.3">
      <c r="A83" s="4" t="str">
        <f t="shared" si="29"/>
        <v>Round 10</v>
      </c>
      <c r="B83" s="38">
        <f t="shared" si="20"/>
        <v>46148</v>
      </c>
      <c r="C83" s="4" t="s">
        <v>17</v>
      </c>
      <c r="D83" s="4" t="s">
        <v>20</v>
      </c>
      <c r="E83" s="4"/>
      <c r="F83" s="5" t="s">
        <v>81</v>
      </c>
      <c r="G83" s="5" t="s">
        <v>12</v>
      </c>
      <c r="H83" s="5" t="s">
        <v>80</v>
      </c>
      <c r="I83" s="4" t="str">
        <f>H80</f>
        <v>Fitzroy Ferals</v>
      </c>
      <c r="J83" s="4" t="str">
        <f t="shared" si="30"/>
        <v>CANT</v>
      </c>
    </row>
    <row r="84" spans="1:10" ht="15" customHeight="1" x14ac:dyDescent="0.3">
      <c r="A84" s="4" t="s">
        <v>37</v>
      </c>
      <c r="B84" s="38">
        <f>B76+7</f>
        <v>46155</v>
      </c>
      <c r="C84" s="11" t="s">
        <v>9</v>
      </c>
      <c r="D84" s="4" t="s">
        <v>10</v>
      </c>
      <c r="E84" s="4" t="str">
        <f t="shared" ref="E84" si="31">F84</f>
        <v>Dunlop Volley</v>
      </c>
      <c r="F84" s="5" t="s">
        <v>54</v>
      </c>
      <c r="G84" s="5" t="s">
        <v>12</v>
      </c>
      <c r="H84" s="5" t="s">
        <v>81</v>
      </c>
      <c r="I84" s="4" t="str">
        <f>F87</f>
        <v>Practice Safe Sets</v>
      </c>
      <c r="J84" s="4"/>
    </row>
    <row r="85" spans="1:10" ht="15" customHeight="1" x14ac:dyDescent="0.3">
      <c r="A85" s="4" t="str">
        <f>A84</f>
        <v>Round 11</v>
      </c>
      <c r="B85" s="38">
        <f t="shared" si="20"/>
        <v>46155</v>
      </c>
      <c r="C85" s="11" t="s">
        <v>9</v>
      </c>
      <c r="D85" s="4" t="s">
        <v>20</v>
      </c>
      <c r="E85" s="4" t="str">
        <f t="shared" si="26"/>
        <v>Pan Set</v>
      </c>
      <c r="F85" s="5" t="s">
        <v>84</v>
      </c>
      <c r="G85" s="5" t="s">
        <v>12</v>
      </c>
      <c r="H85" s="5" t="s">
        <v>55</v>
      </c>
      <c r="I85" s="4" t="str">
        <f>H87</f>
        <v>Mixed Mayhem</v>
      </c>
      <c r="J85" s="4"/>
    </row>
    <row r="86" spans="1:10" ht="15" customHeight="1" x14ac:dyDescent="0.3">
      <c r="A86" s="4" t="str">
        <f t="shared" ref="A86:A91" si="32">A85</f>
        <v>Round 11</v>
      </c>
      <c r="B86" s="38">
        <f t="shared" si="20"/>
        <v>46155</v>
      </c>
      <c r="C86" s="11" t="s">
        <v>9</v>
      </c>
      <c r="D86" s="4" t="s">
        <v>23</v>
      </c>
      <c r="E86" s="4" t="str">
        <f t="shared" si="26"/>
        <v>Fitxroy Rejects</v>
      </c>
      <c r="F86" s="7" t="s">
        <v>87</v>
      </c>
      <c r="G86" s="7" t="s">
        <v>12</v>
      </c>
      <c r="H86" s="7" t="s">
        <v>85</v>
      </c>
      <c r="I86" s="4" t="str">
        <f>F88</f>
        <v>The Upsetters</v>
      </c>
      <c r="J86" s="4"/>
    </row>
    <row r="87" spans="1:10" ht="15" customHeight="1" x14ac:dyDescent="0.3">
      <c r="A87" s="4" t="str">
        <f t="shared" si="32"/>
        <v>Round 11</v>
      </c>
      <c r="B87" s="38">
        <f t="shared" si="20"/>
        <v>46155</v>
      </c>
      <c r="C87" s="4" t="s">
        <v>14</v>
      </c>
      <c r="D87" s="4" t="s">
        <v>10</v>
      </c>
      <c r="E87" s="4"/>
      <c r="F87" s="5" t="s">
        <v>59</v>
      </c>
      <c r="G87" s="5" t="s">
        <v>12</v>
      </c>
      <c r="H87" s="5" t="s">
        <v>83</v>
      </c>
      <c r="I87" s="4" t="str">
        <f>F90</f>
        <v>Fitzroy Ferals</v>
      </c>
      <c r="J87" s="4"/>
    </row>
    <row r="88" spans="1:10" ht="15" customHeight="1" x14ac:dyDescent="0.3">
      <c r="A88" s="4" t="str">
        <f t="shared" si="32"/>
        <v>Round 11</v>
      </c>
      <c r="B88" s="38">
        <f t="shared" si="20"/>
        <v>46155</v>
      </c>
      <c r="C88" s="4" t="s">
        <v>14</v>
      </c>
      <c r="D88" s="4" t="s">
        <v>20</v>
      </c>
      <c r="E88" s="4"/>
      <c r="F88" s="7" t="s">
        <v>88</v>
      </c>
      <c r="G88" s="7" t="s">
        <v>12</v>
      </c>
      <c r="H88" s="7" t="s">
        <v>56</v>
      </c>
      <c r="I88" s="4" t="str">
        <f>H86</f>
        <v>Ballers</v>
      </c>
      <c r="J88" s="4"/>
    </row>
    <row r="89" spans="1:10" ht="15" customHeight="1" x14ac:dyDescent="0.3">
      <c r="A89" s="4" t="str">
        <f t="shared" si="32"/>
        <v>Round 11</v>
      </c>
      <c r="B89" s="38">
        <f t="shared" si="20"/>
        <v>46155</v>
      </c>
      <c r="C89" s="4" t="s">
        <v>14</v>
      </c>
      <c r="D89" s="4" t="s">
        <v>23</v>
      </c>
      <c r="E89" s="4"/>
      <c r="F89" s="7" t="s">
        <v>91</v>
      </c>
      <c r="G89" s="7" t="s">
        <v>12</v>
      </c>
      <c r="H89" s="7" t="s">
        <v>57</v>
      </c>
      <c r="I89" s="4" t="str">
        <f>H85</f>
        <v>Chewblockers</v>
      </c>
      <c r="J89" s="4" t="str">
        <f t="shared" ref="J89" si="33">H89</f>
        <v>That's What She Set</v>
      </c>
    </row>
    <row r="90" spans="1:10" ht="15" customHeight="1" x14ac:dyDescent="0.3">
      <c r="A90" s="4" t="str">
        <f t="shared" si="32"/>
        <v>Round 11</v>
      </c>
      <c r="B90" s="38">
        <f t="shared" si="20"/>
        <v>46155</v>
      </c>
      <c r="C90" s="11" t="s">
        <v>17</v>
      </c>
      <c r="D90" s="4" t="s">
        <v>10</v>
      </c>
      <c r="E90" s="4"/>
      <c r="F90" s="5" t="s">
        <v>82</v>
      </c>
      <c r="G90" s="5" t="s">
        <v>12</v>
      </c>
      <c r="H90" s="5" t="s">
        <v>80</v>
      </c>
      <c r="I90" s="4" t="str">
        <f>F89</f>
        <v>Whoopsies</v>
      </c>
      <c r="J90" s="4" t="str">
        <f>F90</f>
        <v>Fitzroy Ferals</v>
      </c>
    </row>
    <row r="91" spans="1:10" ht="15" customHeight="1" x14ac:dyDescent="0.3">
      <c r="A91" s="4" t="str">
        <f t="shared" si="32"/>
        <v>Round 11</v>
      </c>
      <c r="B91" s="38">
        <f t="shared" si="20"/>
        <v>46155</v>
      </c>
      <c r="C91" s="11" t="s">
        <v>17</v>
      </c>
      <c r="D91" s="4" t="s">
        <v>20</v>
      </c>
      <c r="E91" s="4"/>
      <c r="F91" s="7" t="s">
        <v>58</v>
      </c>
      <c r="G91" s="7" t="s">
        <v>12</v>
      </c>
      <c r="H91" s="7" t="s">
        <v>86</v>
      </c>
      <c r="I91" s="4" t="str">
        <f>H88</f>
        <v>Wilsons</v>
      </c>
      <c r="J91" s="4" t="str">
        <f t="shared" ref="J91" si="34">H91</f>
        <v>Fitxroy Freaks</v>
      </c>
    </row>
    <row r="92" spans="1:10" ht="15" customHeight="1" x14ac:dyDescent="0.3">
      <c r="A92" s="4" t="s">
        <v>38</v>
      </c>
      <c r="B92" s="38">
        <f>B84+7</f>
        <v>46162</v>
      </c>
      <c r="C92" s="4" t="s">
        <v>9</v>
      </c>
      <c r="D92" s="4" t="s">
        <v>10</v>
      </c>
      <c r="E92" s="4" t="str">
        <f t="shared" ref="E92:E93" si="35">F92</f>
        <v>Wilsons</v>
      </c>
      <c r="F92" s="7" t="s">
        <v>56</v>
      </c>
      <c r="G92" s="7" t="s">
        <v>12</v>
      </c>
      <c r="H92" s="7" t="s">
        <v>57</v>
      </c>
      <c r="I92" s="4" t="str">
        <f>F97</f>
        <v>Fitxroy Rejects</v>
      </c>
      <c r="J92" s="4"/>
    </row>
    <row r="93" spans="1:10" ht="15" customHeight="1" x14ac:dyDescent="0.3">
      <c r="A93" s="4" t="str">
        <f>A92</f>
        <v>Round 12</v>
      </c>
      <c r="B93" s="38">
        <f t="shared" si="20"/>
        <v>46162</v>
      </c>
      <c r="C93" s="4" t="s">
        <v>9</v>
      </c>
      <c r="D93" s="4" t="s">
        <v>20</v>
      </c>
      <c r="E93" s="4" t="str">
        <f t="shared" si="35"/>
        <v>Fitxroy Freaks</v>
      </c>
      <c r="F93" s="7" t="s">
        <v>86</v>
      </c>
      <c r="G93" s="7" t="s">
        <v>12</v>
      </c>
      <c r="H93" s="7" t="s">
        <v>85</v>
      </c>
      <c r="I93" s="4" t="str">
        <f>H97</f>
        <v>Whoopsies</v>
      </c>
      <c r="J93" s="4"/>
    </row>
    <row r="94" spans="1:10" ht="15" customHeight="1" x14ac:dyDescent="0.3">
      <c r="A94" s="4" t="str">
        <f t="shared" ref="A94:A99" si="36">A93</f>
        <v>Round 12</v>
      </c>
      <c r="B94" s="38">
        <f t="shared" si="20"/>
        <v>46162</v>
      </c>
      <c r="C94" s="4" t="s">
        <v>9</v>
      </c>
      <c r="D94" s="4" t="s">
        <v>23</v>
      </c>
      <c r="E94" s="4" t="str">
        <f>F94</f>
        <v>The Upsetters</v>
      </c>
      <c r="F94" s="7" t="s">
        <v>88</v>
      </c>
      <c r="G94" s="7" t="s">
        <v>12</v>
      </c>
      <c r="H94" s="7" t="s">
        <v>58</v>
      </c>
      <c r="I94" s="4" t="str">
        <f>F95</f>
        <v>Dunlop Volley</v>
      </c>
      <c r="J94" s="4"/>
    </row>
    <row r="95" spans="1:10" ht="15" customHeight="1" x14ac:dyDescent="0.3">
      <c r="A95" s="4" t="str">
        <f t="shared" si="36"/>
        <v>Round 12</v>
      </c>
      <c r="B95" s="38">
        <f t="shared" si="20"/>
        <v>46162</v>
      </c>
      <c r="C95" s="4" t="s">
        <v>14</v>
      </c>
      <c r="D95" s="4" t="s">
        <v>10</v>
      </c>
      <c r="E95" s="4"/>
      <c r="F95" s="5" t="s">
        <v>54</v>
      </c>
      <c r="G95" s="5" t="s">
        <v>12</v>
      </c>
      <c r="H95" s="5" t="s">
        <v>79</v>
      </c>
      <c r="I95" s="4" t="str">
        <f>F98</f>
        <v>Casual Sets</v>
      </c>
      <c r="J95" s="4"/>
    </row>
    <row r="96" spans="1:10" ht="15" customHeight="1" x14ac:dyDescent="0.3">
      <c r="A96" s="4" t="str">
        <f t="shared" si="36"/>
        <v>Round 12</v>
      </c>
      <c r="B96" s="38">
        <f t="shared" si="20"/>
        <v>46162</v>
      </c>
      <c r="C96" s="4" t="s">
        <v>14</v>
      </c>
      <c r="D96" s="4" t="s">
        <v>20</v>
      </c>
      <c r="E96" s="4"/>
      <c r="F96" s="5" t="s">
        <v>82</v>
      </c>
      <c r="G96" s="5" t="s">
        <v>12</v>
      </c>
      <c r="H96" s="5" t="s">
        <v>84</v>
      </c>
      <c r="I96" s="4" t="str">
        <f>F99</f>
        <v>Chewblockers</v>
      </c>
      <c r="J96" s="4"/>
    </row>
    <row r="97" spans="1:10" ht="15" customHeight="1" x14ac:dyDescent="0.3">
      <c r="A97" s="4" t="str">
        <f t="shared" si="36"/>
        <v>Round 12</v>
      </c>
      <c r="B97" s="38">
        <f t="shared" si="20"/>
        <v>46162</v>
      </c>
      <c r="C97" s="4" t="s">
        <v>14</v>
      </c>
      <c r="D97" s="4" t="s">
        <v>23</v>
      </c>
      <c r="E97" s="4"/>
      <c r="F97" s="7" t="s">
        <v>87</v>
      </c>
      <c r="G97" s="7" t="s">
        <v>12</v>
      </c>
      <c r="H97" s="7" t="s">
        <v>91</v>
      </c>
      <c r="I97" s="4" t="str">
        <f>H94</f>
        <v>Netflicks</v>
      </c>
      <c r="J97" s="4" t="str">
        <f t="shared" ref="J97:J99" si="37">H97</f>
        <v>Whoopsies</v>
      </c>
    </row>
    <row r="98" spans="1:10" ht="15" customHeight="1" x14ac:dyDescent="0.3">
      <c r="A98" s="4" t="str">
        <f t="shared" si="36"/>
        <v>Round 12</v>
      </c>
      <c r="B98" s="38">
        <f t="shared" si="20"/>
        <v>46162</v>
      </c>
      <c r="C98" s="4" t="s">
        <v>17</v>
      </c>
      <c r="D98" s="4" t="s">
        <v>10</v>
      </c>
      <c r="E98" s="4"/>
      <c r="F98" s="5" t="s">
        <v>81</v>
      </c>
      <c r="G98" s="5" t="s">
        <v>12</v>
      </c>
      <c r="H98" s="5" t="s">
        <v>59</v>
      </c>
      <c r="I98" s="4" t="str">
        <f>H95</f>
        <v>Back In The Day</v>
      </c>
      <c r="J98" s="4" t="str">
        <f t="shared" si="37"/>
        <v>Practice Safe Sets</v>
      </c>
    </row>
    <row r="99" spans="1:10" ht="15" customHeight="1" x14ac:dyDescent="0.3">
      <c r="A99" s="4" t="str">
        <f t="shared" si="36"/>
        <v>Round 12</v>
      </c>
      <c r="B99" s="38">
        <f t="shared" si="20"/>
        <v>46162</v>
      </c>
      <c r="C99" s="4" t="s">
        <v>17</v>
      </c>
      <c r="D99" s="4" t="s">
        <v>20</v>
      </c>
      <c r="E99" s="4"/>
      <c r="F99" s="5" t="s">
        <v>55</v>
      </c>
      <c r="G99" s="5" t="s">
        <v>12</v>
      </c>
      <c r="H99" s="5" t="s">
        <v>83</v>
      </c>
      <c r="I99" s="4" t="str">
        <f>H96</f>
        <v>Pan Set</v>
      </c>
      <c r="J99" s="4" t="str">
        <f t="shared" si="37"/>
        <v>Mixed Mayhem</v>
      </c>
    </row>
    <row r="100" spans="1:10" ht="15" customHeight="1" x14ac:dyDescent="0.3">
      <c r="A100" s="4" t="s">
        <v>39</v>
      </c>
      <c r="B100" s="38">
        <f>B92+7</f>
        <v>46169</v>
      </c>
      <c r="C100" s="4" t="s">
        <v>9</v>
      </c>
      <c r="D100" s="4" t="s">
        <v>10</v>
      </c>
      <c r="E100" s="4" t="str">
        <f t="shared" ref="E100:E110" si="38">F100</f>
        <v>Pan Set</v>
      </c>
      <c r="F100" s="5" t="s">
        <v>84</v>
      </c>
      <c r="G100" s="5" t="s">
        <v>12</v>
      </c>
      <c r="H100" s="5" t="s">
        <v>80</v>
      </c>
      <c r="I100" s="4" t="str">
        <f>F103</f>
        <v>Mixed Mayhem</v>
      </c>
      <c r="J100" s="4"/>
    </row>
    <row r="101" spans="1:10" ht="15" customHeight="1" x14ac:dyDescent="0.3">
      <c r="A101" s="4" t="str">
        <f>A100</f>
        <v>Round 13</v>
      </c>
      <c r="B101" s="38">
        <f t="shared" ref="B101:B109" si="39">B100</f>
        <v>46169</v>
      </c>
      <c r="C101" s="4" t="s">
        <v>9</v>
      </c>
      <c r="D101" s="4" t="s">
        <v>20</v>
      </c>
      <c r="E101" s="4" t="str">
        <f t="shared" si="38"/>
        <v>Practice Safe Sets</v>
      </c>
      <c r="F101" s="5" t="s">
        <v>59</v>
      </c>
      <c r="G101" s="5" t="s">
        <v>12</v>
      </c>
      <c r="H101" s="5" t="s">
        <v>79</v>
      </c>
      <c r="I101" s="4" t="str">
        <f>F104</f>
        <v>Chewblockers</v>
      </c>
      <c r="J101" s="4"/>
    </row>
    <row r="102" spans="1:10" ht="15" customHeight="1" x14ac:dyDescent="0.3">
      <c r="A102" s="4" t="str">
        <f t="shared" ref="A102:A107" si="40">A101</f>
        <v>Round 13</v>
      </c>
      <c r="B102" s="38">
        <f t="shared" si="39"/>
        <v>46169</v>
      </c>
      <c r="C102" s="4" t="s">
        <v>9</v>
      </c>
      <c r="D102" s="4" t="s">
        <v>23</v>
      </c>
      <c r="E102" s="4" t="str">
        <f t="shared" si="38"/>
        <v>The Upsetters</v>
      </c>
      <c r="F102" s="7" t="s">
        <v>88</v>
      </c>
      <c r="G102" s="7" t="s">
        <v>12</v>
      </c>
      <c r="H102" s="7" t="s">
        <v>86</v>
      </c>
      <c r="I102" s="4" t="str">
        <f>F105</f>
        <v>Ballers</v>
      </c>
      <c r="J102" s="4"/>
    </row>
    <row r="103" spans="1:10" ht="15" customHeight="1" x14ac:dyDescent="0.3">
      <c r="A103" s="4" t="str">
        <f t="shared" si="40"/>
        <v>Round 13</v>
      </c>
      <c r="B103" s="38">
        <f t="shared" si="39"/>
        <v>46169</v>
      </c>
      <c r="C103" s="4" t="s">
        <v>14</v>
      </c>
      <c r="D103" s="4" t="s">
        <v>10</v>
      </c>
      <c r="E103" s="4"/>
      <c r="F103" s="5" t="s">
        <v>83</v>
      </c>
      <c r="G103" s="5" t="s">
        <v>12</v>
      </c>
      <c r="H103" s="5" t="s">
        <v>54</v>
      </c>
      <c r="I103" s="4" t="str">
        <f>H100</f>
        <v>CANT</v>
      </c>
      <c r="J103" s="4"/>
    </row>
    <row r="104" spans="1:10" ht="15" customHeight="1" x14ac:dyDescent="0.3">
      <c r="A104" s="4" t="str">
        <f t="shared" si="40"/>
        <v>Round 13</v>
      </c>
      <c r="B104" s="38">
        <f t="shared" si="39"/>
        <v>46169</v>
      </c>
      <c r="C104" s="4" t="s">
        <v>14</v>
      </c>
      <c r="D104" s="4" t="s">
        <v>20</v>
      </c>
      <c r="E104" s="4"/>
      <c r="F104" s="5" t="s">
        <v>55</v>
      </c>
      <c r="G104" s="5" t="s">
        <v>12</v>
      </c>
      <c r="H104" s="5" t="s">
        <v>81</v>
      </c>
      <c r="I104" s="4" t="str">
        <f>H101</f>
        <v>Back In The Day</v>
      </c>
      <c r="J104" s="4"/>
    </row>
    <row r="105" spans="1:10" ht="15" customHeight="1" x14ac:dyDescent="0.3">
      <c r="A105" s="4" t="str">
        <f t="shared" si="40"/>
        <v>Round 13</v>
      </c>
      <c r="B105" s="38">
        <f t="shared" si="39"/>
        <v>46169</v>
      </c>
      <c r="C105" s="4" t="s">
        <v>14</v>
      </c>
      <c r="D105" s="4" t="s">
        <v>23</v>
      </c>
      <c r="E105" s="4"/>
      <c r="F105" s="7" t="s">
        <v>85</v>
      </c>
      <c r="G105" s="7" t="s">
        <v>12</v>
      </c>
      <c r="H105" s="7" t="s">
        <v>91</v>
      </c>
      <c r="I105" s="4" t="str">
        <f>H102</f>
        <v>Fitxroy Freaks</v>
      </c>
      <c r="J105" s="4" t="str">
        <f t="shared" ref="J105:J107" si="41">H105</f>
        <v>Whoopsies</v>
      </c>
    </row>
    <row r="106" spans="1:10" ht="15" customHeight="1" x14ac:dyDescent="0.3">
      <c r="A106" s="4" t="str">
        <f t="shared" si="40"/>
        <v>Round 13</v>
      </c>
      <c r="B106" s="38">
        <f t="shared" si="39"/>
        <v>46169</v>
      </c>
      <c r="C106" s="4" t="s">
        <v>17</v>
      </c>
      <c r="D106" s="4" t="s">
        <v>10</v>
      </c>
      <c r="E106" s="4"/>
      <c r="F106" s="7" t="s">
        <v>57</v>
      </c>
      <c r="G106" s="7" t="s">
        <v>12</v>
      </c>
      <c r="H106" s="7" t="s">
        <v>58</v>
      </c>
      <c r="I106" s="4" t="str">
        <f>H103</f>
        <v>Dunlop Volley</v>
      </c>
      <c r="J106" s="4" t="str">
        <f t="shared" si="41"/>
        <v>Netflicks</v>
      </c>
    </row>
    <row r="107" spans="1:10" ht="15" customHeight="1" x14ac:dyDescent="0.3">
      <c r="A107" s="4" t="str">
        <f t="shared" si="40"/>
        <v>Round 13</v>
      </c>
      <c r="B107" s="38">
        <f t="shared" si="39"/>
        <v>46169</v>
      </c>
      <c r="C107" s="4" t="s">
        <v>17</v>
      </c>
      <c r="D107" s="4" t="s">
        <v>20</v>
      </c>
      <c r="E107" s="4"/>
      <c r="F107" s="7" t="s">
        <v>56</v>
      </c>
      <c r="G107" s="7" t="s">
        <v>12</v>
      </c>
      <c r="H107" s="7" t="s">
        <v>87</v>
      </c>
      <c r="I107" s="4" t="str">
        <f>H104</f>
        <v>Casual Sets</v>
      </c>
      <c r="J107" s="4" t="str">
        <f t="shared" si="41"/>
        <v>Fitxroy Rejects</v>
      </c>
    </row>
    <row r="108" spans="1:10" ht="15" customHeight="1" x14ac:dyDescent="0.3">
      <c r="A108" s="4" t="s">
        <v>40</v>
      </c>
      <c r="B108" s="38">
        <f>B100+7</f>
        <v>46176</v>
      </c>
      <c r="C108" s="4" t="s">
        <v>9</v>
      </c>
      <c r="D108" s="4" t="s">
        <v>10</v>
      </c>
      <c r="E108" s="4" t="str">
        <f t="shared" ref="E108" si="42">F108</f>
        <v>Fitzroy Ferals</v>
      </c>
      <c r="F108" s="5" t="s">
        <v>82</v>
      </c>
      <c r="G108" s="5" t="s">
        <v>12</v>
      </c>
      <c r="H108" s="5" t="s">
        <v>81</v>
      </c>
      <c r="I108" s="4" t="str">
        <f>F111</f>
        <v>Pan Set</v>
      </c>
      <c r="J108" s="4"/>
    </row>
    <row r="109" spans="1:10" ht="15" customHeight="1" x14ac:dyDescent="0.3">
      <c r="A109" s="4" t="str">
        <f>A108</f>
        <v>Round 14</v>
      </c>
      <c r="B109" s="38">
        <f t="shared" si="39"/>
        <v>46176</v>
      </c>
      <c r="C109" s="4" t="s">
        <v>9</v>
      </c>
      <c r="D109" s="4" t="s">
        <v>20</v>
      </c>
      <c r="E109" s="4" t="str">
        <f t="shared" si="38"/>
        <v>Netflicks</v>
      </c>
      <c r="F109" s="7" t="s">
        <v>58</v>
      </c>
      <c r="G109" s="7" t="s">
        <v>12</v>
      </c>
      <c r="H109" s="7" t="s">
        <v>87</v>
      </c>
      <c r="I109" s="4" t="str">
        <f>F113</f>
        <v>Ballers</v>
      </c>
      <c r="J109" s="4"/>
    </row>
    <row r="110" spans="1:10" ht="15" customHeight="1" x14ac:dyDescent="0.3">
      <c r="A110" s="4" t="str">
        <f t="shared" ref="A110:B115" si="43">A109</f>
        <v>Round 14</v>
      </c>
      <c r="B110" s="38">
        <f t="shared" si="43"/>
        <v>46176</v>
      </c>
      <c r="C110" s="4" t="s">
        <v>9</v>
      </c>
      <c r="D110" s="4" t="s">
        <v>23</v>
      </c>
      <c r="E110" s="4" t="str">
        <f t="shared" si="38"/>
        <v>The Upsetters</v>
      </c>
      <c r="F110" s="7" t="s">
        <v>88</v>
      </c>
      <c r="G110" s="7" t="s">
        <v>12</v>
      </c>
      <c r="H110" s="7" t="s">
        <v>56</v>
      </c>
      <c r="I110" s="4" t="str">
        <f>H113</f>
        <v>That's What She Set</v>
      </c>
      <c r="J110" s="4"/>
    </row>
    <row r="111" spans="1:10" ht="15" customHeight="1" x14ac:dyDescent="0.3">
      <c r="A111" s="4" t="str">
        <f t="shared" si="43"/>
        <v>Round 14</v>
      </c>
      <c r="B111" s="38">
        <f t="shared" si="43"/>
        <v>46176</v>
      </c>
      <c r="C111" s="4" t="s">
        <v>14</v>
      </c>
      <c r="D111" s="4" t="s">
        <v>10</v>
      </c>
      <c r="E111" s="4"/>
      <c r="F111" s="5" t="s">
        <v>84</v>
      </c>
      <c r="G111" s="5" t="s">
        <v>12</v>
      </c>
      <c r="H111" s="5" t="s">
        <v>55</v>
      </c>
      <c r="I111" s="4" t="str">
        <f>H108</f>
        <v>Casual Sets</v>
      </c>
      <c r="J111" s="4"/>
    </row>
    <row r="112" spans="1:10" ht="15" customHeight="1" x14ac:dyDescent="0.3">
      <c r="A112" s="4" t="str">
        <f t="shared" si="43"/>
        <v>Round 14</v>
      </c>
      <c r="B112" s="38">
        <f t="shared" si="43"/>
        <v>46176</v>
      </c>
      <c r="C112" s="4" t="s">
        <v>14</v>
      </c>
      <c r="D112" s="4" t="s">
        <v>20</v>
      </c>
      <c r="E112" s="4"/>
      <c r="F112" s="5" t="s">
        <v>79</v>
      </c>
      <c r="G112" s="5" t="s">
        <v>12</v>
      </c>
      <c r="H112" s="5" t="s">
        <v>83</v>
      </c>
      <c r="I112" s="4" t="str">
        <f>H114</f>
        <v>Dunlop Volley</v>
      </c>
      <c r="J112" s="4"/>
    </row>
    <row r="113" spans="1:10" ht="15" customHeight="1" x14ac:dyDescent="0.3">
      <c r="A113" s="4" t="str">
        <f t="shared" si="43"/>
        <v>Round 14</v>
      </c>
      <c r="B113" s="38">
        <f t="shared" si="43"/>
        <v>46176</v>
      </c>
      <c r="C113" s="4" t="s">
        <v>14</v>
      </c>
      <c r="D113" s="4" t="s">
        <v>23</v>
      </c>
      <c r="E113" s="4"/>
      <c r="F113" s="7" t="s">
        <v>85</v>
      </c>
      <c r="G113" s="7" t="s">
        <v>12</v>
      </c>
      <c r="H113" s="7" t="s">
        <v>57</v>
      </c>
      <c r="I113" s="4" t="str">
        <f>H110</f>
        <v>Wilsons</v>
      </c>
      <c r="J113" s="4" t="str">
        <f t="shared" ref="J113" si="44">H113</f>
        <v>That's What She Set</v>
      </c>
    </row>
    <row r="114" spans="1:10" ht="15" customHeight="1" x14ac:dyDescent="0.3">
      <c r="A114" s="4" t="str">
        <f t="shared" si="43"/>
        <v>Round 14</v>
      </c>
      <c r="B114" s="38">
        <f t="shared" si="43"/>
        <v>46176</v>
      </c>
      <c r="C114" s="4" t="s">
        <v>17</v>
      </c>
      <c r="D114" s="4" t="s">
        <v>10</v>
      </c>
      <c r="E114" s="4"/>
      <c r="F114" s="5" t="s">
        <v>80</v>
      </c>
      <c r="G114" s="5" t="s">
        <v>12</v>
      </c>
      <c r="H114" s="5" t="s">
        <v>54</v>
      </c>
      <c r="I114" s="4" t="str">
        <f>F112</f>
        <v>Back In The Day</v>
      </c>
      <c r="J114" s="4" t="str">
        <f>F114</f>
        <v>CANT</v>
      </c>
    </row>
    <row r="115" spans="1:10" ht="15" customHeight="1" x14ac:dyDescent="0.3">
      <c r="A115" s="4" t="str">
        <f t="shared" si="43"/>
        <v>Round 14</v>
      </c>
      <c r="B115" s="38">
        <f t="shared" si="43"/>
        <v>46176</v>
      </c>
      <c r="C115" s="4" t="s">
        <v>17</v>
      </c>
      <c r="D115" s="4" t="s">
        <v>20</v>
      </c>
      <c r="E115" s="4"/>
      <c r="F115" s="7" t="s">
        <v>86</v>
      </c>
      <c r="G115" s="7" t="s">
        <v>12</v>
      </c>
      <c r="H115" s="7" t="s">
        <v>91</v>
      </c>
      <c r="I115" s="4" t="str">
        <f>H112</f>
        <v>Mixed Mayhem</v>
      </c>
      <c r="J115" s="4" t="str">
        <f t="shared" ref="J115" si="45">H115</f>
        <v>Whoopsies</v>
      </c>
    </row>
  </sheetData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59EC-497E-4991-9973-F28DF64326E2}">
  <dimension ref="A1:K65"/>
  <sheetViews>
    <sheetView workbookViewId="0">
      <selection sqref="A1:XFD1"/>
    </sheetView>
  </sheetViews>
  <sheetFormatPr defaultRowHeight="16.2" customHeight="1" x14ac:dyDescent="0.3"/>
  <cols>
    <col min="1" max="1" width="12.33203125" customWidth="1"/>
    <col min="2" max="2" width="10.5546875" bestFit="1" customWidth="1"/>
    <col min="3" max="3" width="8.88671875" style="29"/>
    <col min="5" max="5" width="15.6640625" customWidth="1"/>
    <col min="6" max="6" width="15.44140625" customWidth="1"/>
    <col min="8" max="10" width="15.5546875" customWidth="1"/>
  </cols>
  <sheetData>
    <row r="1" spans="1:10" ht="16.2" customHeight="1" x14ac:dyDescent="0.3">
      <c r="A1" s="15" t="s">
        <v>60</v>
      </c>
      <c r="B1" s="15" t="s">
        <v>0</v>
      </c>
      <c r="C1" s="25" t="s">
        <v>1</v>
      </c>
      <c r="D1" s="15" t="s">
        <v>2</v>
      </c>
      <c r="E1" s="15" t="s">
        <v>3</v>
      </c>
      <c r="F1" s="15" t="s">
        <v>4</v>
      </c>
      <c r="G1" s="15"/>
      <c r="H1" s="15" t="s">
        <v>5</v>
      </c>
      <c r="I1" s="15" t="s">
        <v>6</v>
      </c>
      <c r="J1" s="15" t="s">
        <v>7</v>
      </c>
    </row>
    <row r="2" spans="1:10" ht="16.2" customHeight="1" x14ac:dyDescent="0.3">
      <c r="A2" s="16" t="s">
        <v>8</v>
      </c>
      <c r="B2" s="38">
        <v>46072</v>
      </c>
      <c r="C2" s="26" t="s">
        <v>9</v>
      </c>
      <c r="D2" s="16">
        <v>1</v>
      </c>
      <c r="E2" s="16" t="str">
        <f>F2</f>
        <v>Easties</v>
      </c>
      <c r="F2" s="41" t="s">
        <v>70</v>
      </c>
      <c r="G2" s="41" t="s">
        <v>12</v>
      </c>
      <c r="H2" s="41" t="s">
        <v>74</v>
      </c>
      <c r="I2" s="16" t="str">
        <f>F3</f>
        <v>Fitzroy Rebels</v>
      </c>
      <c r="J2" s="16"/>
    </row>
    <row r="3" spans="1:10" ht="16.2" customHeight="1" x14ac:dyDescent="0.3">
      <c r="A3" s="16" t="str">
        <f>A2</f>
        <v>Round 1</v>
      </c>
      <c r="B3" s="38">
        <f>B2</f>
        <v>46072</v>
      </c>
      <c r="C3" s="26" t="s">
        <v>14</v>
      </c>
      <c r="D3" s="16">
        <v>1</v>
      </c>
      <c r="E3" s="16"/>
      <c r="F3" s="41" t="s">
        <v>71</v>
      </c>
      <c r="G3" s="41" t="s">
        <v>12</v>
      </c>
      <c r="H3" s="41" t="s">
        <v>75</v>
      </c>
      <c r="I3" s="16" t="str">
        <f>H2</f>
        <v>On the Ball</v>
      </c>
      <c r="J3" s="16" t="str">
        <f>H3</f>
        <v>Rhythm &amp; Spikes</v>
      </c>
    </row>
    <row r="4" spans="1:10" ht="16.2" customHeight="1" x14ac:dyDescent="0.3">
      <c r="A4" s="16" t="str">
        <f t="shared" ref="A4:B16" si="0">A3</f>
        <v>Round 1</v>
      </c>
      <c r="B4" s="38">
        <f t="shared" si="0"/>
        <v>46072</v>
      </c>
      <c r="C4" s="26" t="s">
        <v>9</v>
      </c>
      <c r="D4" s="16">
        <v>2</v>
      </c>
      <c r="E4" s="16" t="str">
        <f>F4</f>
        <v>Mixed Bag</v>
      </c>
      <c r="F4" s="41" t="s">
        <v>73</v>
      </c>
      <c r="G4" s="41" t="s">
        <v>12</v>
      </c>
      <c r="H4" s="41" t="s">
        <v>76</v>
      </c>
      <c r="I4" s="16" t="str">
        <f>F5</f>
        <v>Sparkles</v>
      </c>
      <c r="J4" s="16"/>
    </row>
    <row r="5" spans="1:10" ht="16.2" customHeight="1" x14ac:dyDescent="0.3">
      <c r="A5" s="16" t="str">
        <f>A4</f>
        <v>Round 1</v>
      </c>
      <c r="B5" s="38">
        <f>B4</f>
        <v>46072</v>
      </c>
      <c r="C5" s="26" t="s">
        <v>14</v>
      </c>
      <c r="D5" s="16">
        <v>2</v>
      </c>
      <c r="E5" s="16"/>
      <c r="F5" s="41" t="s">
        <v>77</v>
      </c>
      <c r="G5" s="41" t="s">
        <v>12</v>
      </c>
      <c r="H5" s="41" t="s">
        <v>72</v>
      </c>
      <c r="I5" s="16" t="str">
        <f>H4</f>
        <v>The Village</v>
      </c>
      <c r="J5" s="16" t="str">
        <f>H5</f>
        <v>Kiss My Ace</v>
      </c>
    </row>
    <row r="6" spans="1:10" ht="16.2" customHeight="1" x14ac:dyDescent="0.3">
      <c r="A6" s="16" t="s">
        <v>24</v>
      </c>
      <c r="B6" s="38">
        <f>B2+7</f>
        <v>46079</v>
      </c>
      <c r="C6" s="26" t="s">
        <v>9</v>
      </c>
      <c r="D6" s="16">
        <v>1</v>
      </c>
      <c r="E6" s="16" t="str">
        <f>F6</f>
        <v>On the Ball</v>
      </c>
      <c r="F6" s="41" t="s">
        <v>74</v>
      </c>
      <c r="G6" s="41" t="s">
        <v>12</v>
      </c>
      <c r="H6" s="41" t="s">
        <v>76</v>
      </c>
      <c r="I6" s="16" t="str">
        <f>F7</f>
        <v>Mixed Bag</v>
      </c>
      <c r="J6" s="16"/>
    </row>
    <row r="7" spans="1:10" ht="16.2" customHeight="1" x14ac:dyDescent="0.3">
      <c r="A7" s="16" t="str">
        <f t="shared" si="0"/>
        <v>Round 2</v>
      </c>
      <c r="B7" s="38">
        <f>B6</f>
        <v>46079</v>
      </c>
      <c r="C7" s="26" t="s">
        <v>14</v>
      </c>
      <c r="D7" s="16">
        <v>1</v>
      </c>
      <c r="E7" s="16"/>
      <c r="F7" s="41" t="s">
        <v>73</v>
      </c>
      <c r="G7" s="41" t="s">
        <v>12</v>
      </c>
      <c r="H7" s="41" t="s">
        <v>71</v>
      </c>
      <c r="I7" s="16" t="str">
        <f>H6</f>
        <v>The Village</v>
      </c>
      <c r="J7" s="16" t="str">
        <f>H7</f>
        <v>Fitzroy Rebels</v>
      </c>
    </row>
    <row r="8" spans="1:10" ht="16.2" customHeight="1" x14ac:dyDescent="0.3">
      <c r="A8" s="16" t="str">
        <f t="shared" si="0"/>
        <v>Round 2</v>
      </c>
      <c r="B8" s="38">
        <f t="shared" si="0"/>
        <v>46079</v>
      </c>
      <c r="C8" s="26" t="s">
        <v>9</v>
      </c>
      <c r="D8" s="16">
        <v>2</v>
      </c>
      <c r="E8" s="16" t="str">
        <f>F8</f>
        <v>Kiss My Ace</v>
      </c>
      <c r="F8" s="41" t="s">
        <v>72</v>
      </c>
      <c r="G8" s="41" t="s">
        <v>12</v>
      </c>
      <c r="H8" s="41" t="s">
        <v>75</v>
      </c>
      <c r="I8" s="16" t="str">
        <f>F9</f>
        <v>Easties</v>
      </c>
      <c r="J8" s="16"/>
    </row>
    <row r="9" spans="1:10" ht="16.2" customHeight="1" x14ac:dyDescent="0.3">
      <c r="A9" s="16" t="str">
        <f t="shared" si="0"/>
        <v>Round 2</v>
      </c>
      <c r="B9" s="38">
        <f t="shared" si="0"/>
        <v>46079</v>
      </c>
      <c r="C9" s="26" t="s">
        <v>14</v>
      </c>
      <c r="D9" s="16">
        <v>2</v>
      </c>
      <c r="E9" s="16"/>
      <c r="F9" s="41" t="s">
        <v>70</v>
      </c>
      <c r="G9" s="41" t="s">
        <v>12</v>
      </c>
      <c r="H9" s="41" t="s">
        <v>77</v>
      </c>
      <c r="I9" s="16" t="str">
        <f>H8</f>
        <v>Rhythm &amp; Spikes</v>
      </c>
      <c r="J9" s="16" t="str">
        <f>H9</f>
        <v>Sparkles</v>
      </c>
    </row>
    <row r="10" spans="1:10" ht="16.2" customHeight="1" x14ac:dyDescent="0.3">
      <c r="A10" s="16" t="s">
        <v>25</v>
      </c>
      <c r="B10" s="38">
        <f>B6+7</f>
        <v>46086</v>
      </c>
      <c r="C10" s="26" t="s">
        <v>9</v>
      </c>
      <c r="D10" s="16">
        <v>1</v>
      </c>
      <c r="E10" s="16" t="str">
        <f>F10</f>
        <v>Rhythm &amp; Spikes</v>
      </c>
      <c r="F10" s="41" t="s">
        <v>75</v>
      </c>
      <c r="G10" s="41" t="s">
        <v>12</v>
      </c>
      <c r="H10" s="41" t="s">
        <v>70</v>
      </c>
      <c r="I10" s="16" t="str">
        <f>F11</f>
        <v>Fitzroy Rebels</v>
      </c>
      <c r="J10" s="16"/>
    </row>
    <row r="11" spans="1:10" ht="16.2" customHeight="1" x14ac:dyDescent="0.3">
      <c r="A11" s="16" t="str">
        <f t="shared" si="0"/>
        <v>Round 3</v>
      </c>
      <c r="B11" s="38">
        <f>B10</f>
        <v>46086</v>
      </c>
      <c r="C11" s="26" t="s">
        <v>14</v>
      </c>
      <c r="D11" s="16">
        <v>1</v>
      </c>
      <c r="E11" s="16"/>
      <c r="F11" s="41" t="s">
        <v>71</v>
      </c>
      <c r="G11" s="41" t="s">
        <v>12</v>
      </c>
      <c r="H11" s="41" t="s">
        <v>72</v>
      </c>
      <c r="I11" s="16" t="str">
        <f>H10</f>
        <v>Easties</v>
      </c>
      <c r="J11" s="16" t="str">
        <f>H11</f>
        <v>Kiss My Ace</v>
      </c>
    </row>
    <row r="12" spans="1:10" ht="16.2" customHeight="1" x14ac:dyDescent="0.3">
      <c r="A12" s="16" t="str">
        <f t="shared" si="0"/>
        <v>Round 3</v>
      </c>
      <c r="B12" s="38">
        <f t="shared" si="0"/>
        <v>46086</v>
      </c>
      <c r="C12" s="26" t="s">
        <v>9</v>
      </c>
      <c r="D12" s="16">
        <v>2</v>
      </c>
      <c r="E12" s="16" t="str">
        <f>F12</f>
        <v>Mixed Bag</v>
      </c>
      <c r="F12" s="41" t="s">
        <v>73</v>
      </c>
      <c r="G12" s="41" t="s">
        <v>12</v>
      </c>
      <c r="H12" s="41" t="s">
        <v>74</v>
      </c>
      <c r="I12" s="16" t="str">
        <f>F13</f>
        <v>The Village</v>
      </c>
      <c r="J12" s="16"/>
    </row>
    <row r="13" spans="1:10" ht="16.2" customHeight="1" x14ac:dyDescent="0.3">
      <c r="A13" s="16" t="str">
        <f t="shared" si="0"/>
        <v>Round 3</v>
      </c>
      <c r="B13" s="38">
        <f t="shared" si="0"/>
        <v>46086</v>
      </c>
      <c r="C13" s="26" t="s">
        <v>14</v>
      </c>
      <c r="D13" s="16">
        <v>2</v>
      </c>
      <c r="E13" s="16"/>
      <c r="F13" s="41" t="s">
        <v>76</v>
      </c>
      <c r="G13" s="41" t="s">
        <v>12</v>
      </c>
      <c r="H13" s="41" t="s">
        <v>77</v>
      </c>
      <c r="I13" s="16" t="str">
        <f>H12</f>
        <v>On the Ball</v>
      </c>
      <c r="J13" s="16" t="str">
        <f>H13</f>
        <v>Sparkles</v>
      </c>
    </row>
    <row r="14" spans="1:10" ht="16.2" customHeight="1" x14ac:dyDescent="0.3">
      <c r="A14" s="16" t="s">
        <v>26</v>
      </c>
      <c r="B14" s="38">
        <f>B10+7</f>
        <v>46093</v>
      </c>
      <c r="C14" s="26" t="s">
        <v>9</v>
      </c>
      <c r="D14" s="16">
        <v>1</v>
      </c>
      <c r="E14" s="16" t="str">
        <f>F14</f>
        <v>The Village</v>
      </c>
      <c r="F14" s="41" t="s">
        <v>76</v>
      </c>
      <c r="G14" s="41" t="s">
        <v>12</v>
      </c>
      <c r="H14" s="41" t="s">
        <v>75</v>
      </c>
      <c r="I14" s="16" t="str">
        <f>F15</f>
        <v>Sparkles</v>
      </c>
      <c r="J14" s="16"/>
    </row>
    <row r="15" spans="1:10" ht="16.2" customHeight="1" x14ac:dyDescent="0.3">
      <c r="A15" s="16" t="str">
        <f t="shared" si="0"/>
        <v>Round 4</v>
      </c>
      <c r="B15" s="38">
        <f>B14</f>
        <v>46093</v>
      </c>
      <c r="C15" s="26" t="s">
        <v>14</v>
      </c>
      <c r="D15" s="16">
        <v>1</v>
      </c>
      <c r="E15" s="16"/>
      <c r="F15" s="41" t="s">
        <v>77</v>
      </c>
      <c r="G15" s="41" t="s">
        <v>12</v>
      </c>
      <c r="H15" s="41" t="s">
        <v>73</v>
      </c>
      <c r="I15" s="16" t="str">
        <f>H14</f>
        <v>Rhythm &amp; Spikes</v>
      </c>
      <c r="J15" s="16" t="str">
        <f>H15</f>
        <v>Mixed Bag</v>
      </c>
    </row>
    <row r="16" spans="1:10" ht="16.2" customHeight="1" x14ac:dyDescent="0.3">
      <c r="A16" s="16" t="str">
        <f t="shared" si="0"/>
        <v>Round 4</v>
      </c>
      <c r="B16" s="38">
        <f t="shared" si="0"/>
        <v>46093</v>
      </c>
      <c r="C16" s="26" t="s">
        <v>9</v>
      </c>
      <c r="D16" s="16">
        <v>2</v>
      </c>
      <c r="E16" s="16" t="str">
        <f>F16</f>
        <v>On the Ball</v>
      </c>
      <c r="F16" s="41" t="s">
        <v>74</v>
      </c>
      <c r="G16" s="41" t="s">
        <v>12</v>
      </c>
      <c r="H16" s="41" t="s">
        <v>71</v>
      </c>
      <c r="I16" s="16" t="str">
        <f>F17</f>
        <v>Kiss My Ace</v>
      </c>
      <c r="J16" s="16"/>
    </row>
    <row r="17" spans="1:10" ht="16.2" customHeight="1" x14ac:dyDescent="0.3">
      <c r="A17" s="16" t="str">
        <f t="shared" ref="A17:B28" si="1">A16</f>
        <v>Round 4</v>
      </c>
      <c r="B17" s="38">
        <f t="shared" si="1"/>
        <v>46093</v>
      </c>
      <c r="C17" s="26" t="s">
        <v>14</v>
      </c>
      <c r="D17" s="16">
        <v>2</v>
      </c>
      <c r="E17" s="16"/>
      <c r="F17" s="41" t="s">
        <v>72</v>
      </c>
      <c r="G17" s="41" t="s">
        <v>12</v>
      </c>
      <c r="H17" s="41" t="s">
        <v>70</v>
      </c>
      <c r="I17" s="16" t="str">
        <f>H16</f>
        <v>Fitzroy Rebels</v>
      </c>
      <c r="J17" s="16" t="str">
        <f>H17</f>
        <v>Easties</v>
      </c>
    </row>
    <row r="18" spans="1:10" ht="16.2" customHeight="1" x14ac:dyDescent="0.3">
      <c r="A18" s="16" t="s">
        <v>27</v>
      </c>
      <c r="B18" s="38">
        <f>B14+7</f>
        <v>46100</v>
      </c>
      <c r="C18" s="26" t="s">
        <v>9</v>
      </c>
      <c r="D18" s="16">
        <v>1</v>
      </c>
      <c r="E18" s="16" t="str">
        <f>F18</f>
        <v>Sparkles</v>
      </c>
      <c r="F18" s="41" t="s">
        <v>77</v>
      </c>
      <c r="G18" s="41" t="s">
        <v>12</v>
      </c>
      <c r="H18" s="41" t="s">
        <v>74</v>
      </c>
      <c r="I18" s="16" t="str">
        <f>F19</f>
        <v>Fitzroy Rebels</v>
      </c>
      <c r="J18" s="16"/>
    </row>
    <row r="19" spans="1:10" ht="16.2" customHeight="1" x14ac:dyDescent="0.3">
      <c r="A19" s="16" t="str">
        <f t="shared" si="1"/>
        <v>Round 5</v>
      </c>
      <c r="B19" s="38">
        <f>B18</f>
        <v>46100</v>
      </c>
      <c r="C19" s="26" t="s">
        <v>14</v>
      </c>
      <c r="D19" s="16">
        <v>1</v>
      </c>
      <c r="E19" s="16"/>
      <c r="F19" s="41" t="s">
        <v>71</v>
      </c>
      <c r="G19" s="41" t="s">
        <v>12</v>
      </c>
      <c r="H19" s="41" t="s">
        <v>70</v>
      </c>
      <c r="I19" s="16" t="str">
        <f>H18</f>
        <v>On the Ball</v>
      </c>
      <c r="J19" s="16" t="str">
        <f>H19</f>
        <v>Easties</v>
      </c>
    </row>
    <row r="20" spans="1:10" ht="16.2" customHeight="1" x14ac:dyDescent="0.3">
      <c r="A20" s="16" t="str">
        <f t="shared" si="1"/>
        <v>Round 5</v>
      </c>
      <c r="B20" s="38">
        <f t="shared" si="1"/>
        <v>46100</v>
      </c>
      <c r="C20" s="26" t="s">
        <v>9</v>
      </c>
      <c r="D20" s="16">
        <v>2</v>
      </c>
      <c r="E20" s="16" t="str">
        <f>F20</f>
        <v>Mixed Bag</v>
      </c>
      <c r="F20" s="41" t="s">
        <v>73</v>
      </c>
      <c r="G20" s="41" t="s">
        <v>12</v>
      </c>
      <c r="H20" s="41" t="s">
        <v>75</v>
      </c>
      <c r="I20" s="16" t="str">
        <f>F21</f>
        <v>Kiss My Ace</v>
      </c>
      <c r="J20" s="16"/>
    </row>
    <row r="21" spans="1:10" ht="16.2" customHeight="1" x14ac:dyDescent="0.3">
      <c r="A21" s="16" t="str">
        <f t="shared" si="1"/>
        <v>Round 5</v>
      </c>
      <c r="B21" s="38">
        <f t="shared" si="1"/>
        <v>46100</v>
      </c>
      <c r="C21" s="26" t="s">
        <v>14</v>
      </c>
      <c r="D21" s="16">
        <v>2</v>
      </c>
      <c r="E21" s="16"/>
      <c r="F21" s="41" t="s">
        <v>72</v>
      </c>
      <c r="G21" s="41" t="s">
        <v>12</v>
      </c>
      <c r="H21" s="41" t="s">
        <v>76</v>
      </c>
      <c r="I21" s="16" t="str">
        <f>H20</f>
        <v>Rhythm &amp; Spikes</v>
      </c>
      <c r="J21" s="16" t="str">
        <f>H21</f>
        <v>The Village</v>
      </c>
    </row>
    <row r="22" spans="1:10" ht="16.2" customHeight="1" x14ac:dyDescent="0.3">
      <c r="A22" s="16" t="s">
        <v>28</v>
      </c>
      <c r="B22" s="38">
        <f>B18+7</f>
        <v>46107</v>
      </c>
      <c r="C22" s="26" t="s">
        <v>9</v>
      </c>
      <c r="D22" s="16">
        <v>1</v>
      </c>
      <c r="E22" s="16" t="str">
        <f>F22</f>
        <v>Sparkles</v>
      </c>
      <c r="F22" s="41" t="s">
        <v>77</v>
      </c>
      <c r="G22" s="41" t="s">
        <v>12</v>
      </c>
      <c r="H22" s="41" t="s">
        <v>71</v>
      </c>
      <c r="I22" s="16" t="str">
        <f>F23</f>
        <v>Rhythm &amp; Spikes</v>
      </c>
      <c r="J22" s="16"/>
    </row>
    <row r="23" spans="1:10" ht="16.2" customHeight="1" x14ac:dyDescent="0.3">
      <c r="A23" s="16" t="str">
        <f t="shared" si="1"/>
        <v>Round 6</v>
      </c>
      <c r="B23" s="38">
        <f>B22</f>
        <v>46107</v>
      </c>
      <c r="C23" s="26" t="s">
        <v>14</v>
      </c>
      <c r="D23" s="16">
        <v>1</v>
      </c>
      <c r="E23" s="16"/>
      <c r="F23" s="41" t="s">
        <v>75</v>
      </c>
      <c r="G23" s="41" t="s">
        <v>12</v>
      </c>
      <c r="H23" s="41" t="s">
        <v>74</v>
      </c>
      <c r="I23" s="16" t="str">
        <f>H22</f>
        <v>Fitzroy Rebels</v>
      </c>
      <c r="J23" s="16" t="str">
        <f>H23</f>
        <v>On the Ball</v>
      </c>
    </row>
    <row r="24" spans="1:10" ht="16.2" customHeight="1" x14ac:dyDescent="0.3">
      <c r="A24" s="16" t="str">
        <f t="shared" si="1"/>
        <v>Round 6</v>
      </c>
      <c r="B24" s="38">
        <f t="shared" si="1"/>
        <v>46107</v>
      </c>
      <c r="C24" s="26" t="s">
        <v>9</v>
      </c>
      <c r="D24" s="16">
        <v>2</v>
      </c>
      <c r="E24" s="16" t="str">
        <f>F24</f>
        <v>Mixed Bag</v>
      </c>
      <c r="F24" s="41" t="s">
        <v>73</v>
      </c>
      <c r="G24" s="41" t="s">
        <v>12</v>
      </c>
      <c r="H24" s="41" t="s">
        <v>72</v>
      </c>
      <c r="I24" s="16" t="str">
        <f>F25</f>
        <v>Easties</v>
      </c>
      <c r="J24" s="16"/>
    </row>
    <row r="25" spans="1:10" ht="16.2" customHeight="1" x14ac:dyDescent="0.3">
      <c r="A25" s="16" t="str">
        <f t="shared" si="1"/>
        <v>Round 6</v>
      </c>
      <c r="B25" s="38">
        <f t="shared" si="1"/>
        <v>46107</v>
      </c>
      <c r="C25" s="26" t="s">
        <v>14</v>
      </c>
      <c r="D25" s="16">
        <v>2</v>
      </c>
      <c r="E25" s="16"/>
      <c r="F25" s="41" t="s">
        <v>70</v>
      </c>
      <c r="G25" s="41" t="s">
        <v>12</v>
      </c>
      <c r="H25" s="41" t="s">
        <v>76</v>
      </c>
      <c r="I25" s="16" t="str">
        <f>H24</f>
        <v>Kiss My Ace</v>
      </c>
      <c r="J25" s="16" t="str">
        <f>H25</f>
        <v>The Village</v>
      </c>
    </row>
    <row r="26" spans="1:10" ht="16.2" customHeight="1" x14ac:dyDescent="0.3">
      <c r="A26" s="16" t="s">
        <v>29</v>
      </c>
      <c r="B26" s="38">
        <f>B22+7</f>
        <v>46114</v>
      </c>
      <c r="C26" s="26" t="s">
        <v>9</v>
      </c>
      <c r="D26" s="16">
        <v>1</v>
      </c>
      <c r="E26" s="16" t="str">
        <f>F26</f>
        <v>On the Ball</v>
      </c>
      <c r="F26" s="41" t="s">
        <v>74</v>
      </c>
      <c r="G26" s="41" t="s">
        <v>12</v>
      </c>
      <c r="H26" s="41" t="s">
        <v>72</v>
      </c>
      <c r="I26" s="16" t="str">
        <f>F27</f>
        <v>Sparkles</v>
      </c>
      <c r="J26" s="16"/>
    </row>
    <row r="27" spans="1:10" ht="16.2" customHeight="1" x14ac:dyDescent="0.3">
      <c r="A27" s="16" t="str">
        <f t="shared" si="1"/>
        <v>Round 7</v>
      </c>
      <c r="B27" s="38">
        <f>B26</f>
        <v>46114</v>
      </c>
      <c r="C27" s="26" t="s">
        <v>14</v>
      </c>
      <c r="D27" s="16">
        <v>1</v>
      </c>
      <c r="E27" s="16"/>
      <c r="F27" s="41" t="s">
        <v>77</v>
      </c>
      <c r="G27" s="41" t="s">
        <v>12</v>
      </c>
      <c r="H27" s="41" t="s">
        <v>73</v>
      </c>
      <c r="I27" s="16" t="str">
        <f>H26</f>
        <v>Kiss My Ace</v>
      </c>
      <c r="J27" s="16" t="str">
        <f>H27</f>
        <v>Mixed Bag</v>
      </c>
    </row>
    <row r="28" spans="1:10" ht="16.2" customHeight="1" x14ac:dyDescent="0.3">
      <c r="A28" s="16" t="str">
        <f t="shared" si="1"/>
        <v>Round 7</v>
      </c>
      <c r="B28" s="38">
        <f t="shared" si="1"/>
        <v>46114</v>
      </c>
      <c r="C28" s="26" t="s">
        <v>9</v>
      </c>
      <c r="D28" s="16">
        <v>2</v>
      </c>
      <c r="E28" s="16" t="str">
        <f>F28</f>
        <v>Fitzroy Rebels</v>
      </c>
      <c r="F28" s="41" t="s">
        <v>71</v>
      </c>
      <c r="G28" s="41" t="s">
        <v>12</v>
      </c>
      <c r="H28" s="41" t="s">
        <v>76</v>
      </c>
      <c r="I28" s="16" t="str">
        <f>F29</f>
        <v>Easties</v>
      </c>
      <c r="J28" s="16"/>
    </row>
    <row r="29" spans="1:10" ht="16.2" customHeight="1" x14ac:dyDescent="0.3">
      <c r="A29" s="16" t="str">
        <f t="shared" ref="A29:B31" si="2">A28</f>
        <v>Round 7</v>
      </c>
      <c r="B29" s="38">
        <f t="shared" si="2"/>
        <v>46114</v>
      </c>
      <c r="C29" s="26" t="s">
        <v>14</v>
      </c>
      <c r="D29" s="16">
        <v>2</v>
      </c>
      <c r="E29" s="16"/>
      <c r="F29" s="41" t="s">
        <v>70</v>
      </c>
      <c r="G29" s="41" t="s">
        <v>12</v>
      </c>
      <c r="H29" s="41" t="s">
        <v>75</v>
      </c>
      <c r="I29" s="16" t="str">
        <f>H28</f>
        <v>The Village</v>
      </c>
      <c r="J29" s="16" t="str">
        <f>H29</f>
        <v>Rhythm &amp; Spikes</v>
      </c>
    </row>
    <row r="30" spans="1:10" ht="16.2" customHeight="1" x14ac:dyDescent="0.3">
      <c r="A30" s="22" t="s">
        <v>61</v>
      </c>
      <c r="B30" s="9">
        <f>B26+7</f>
        <v>46121</v>
      </c>
      <c r="C30" s="27"/>
      <c r="D30" s="22"/>
      <c r="E30" s="22"/>
      <c r="F30" s="22"/>
      <c r="G30" s="22"/>
      <c r="H30" s="22"/>
      <c r="I30" s="22"/>
      <c r="J30" s="22"/>
    </row>
    <row r="31" spans="1:10" ht="16.2" customHeight="1" x14ac:dyDescent="0.3">
      <c r="A31" s="22" t="str">
        <f t="shared" si="2"/>
        <v>Holidays</v>
      </c>
      <c r="B31" s="9">
        <f>B30+7</f>
        <v>46128</v>
      </c>
      <c r="C31" s="27"/>
      <c r="D31" s="22"/>
      <c r="E31" s="22"/>
      <c r="F31" s="22"/>
      <c r="G31" s="22"/>
      <c r="H31" s="22"/>
      <c r="I31" s="22"/>
      <c r="J31" s="22"/>
    </row>
    <row r="32" spans="1:10" ht="16.2" customHeight="1" x14ac:dyDescent="0.3">
      <c r="A32" s="16" t="s">
        <v>34</v>
      </c>
      <c r="B32" s="38">
        <f>B31+7</f>
        <v>46135</v>
      </c>
      <c r="C32" s="26" t="s">
        <v>9</v>
      </c>
      <c r="D32" s="16">
        <v>1</v>
      </c>
      <c r="E32" s="16" t="str">
        <f>F32</f>
        <v>Mixed Bag</v>
      </c>
      <c r="F32" s="41" t="s">
        <v>73</v>
      </c>
      <c r="G32" s="41" t="s">
        <v>12</v>
      </c>
      <c r="H32" s="41" t="s">
        <v>76</v>
      </c>
      <c r="I32" s="16" t="str">
        <f>F33</f>
        <v>Fitzroy Rebels</v>
      </c>
      <c r="J32" s="16"/>
    </row>
    <row r="33" spans="1:10" ht="16.2" customHeight="1" x14ac:dyDescent="0.3">
      <c r="A33" s="16" t="str">
        <f t="shared" ref="A33:B45" si="3">A32</f>
        <v>Round 8</v>
      </c>
      <c r="B33" s="38">
        <f>B32</f>
        <v>46135</v>
      </c>
      <c r="C33" s="26" t="s">
        <v>14</v>
      </c>
      <c r="D33" s="16">
        <v>1</v>
      </c>
      <c r="E33" s="16"/>
      <c r="F33" s="41" t="s">
        <v>71</v>
      </c>
      <c r="G33" s="41" t="s">
        <v>12</v>
      </c>
      <c r="H33" s="41" t="s">
        <v>75</v>
      </c>
      <c r="I33" s="16" t="str">
        <f>H32</f>
        <v>The Village</v>
      </c>
      <c r="J33" s="16" t="str">
        <f>H33</f>
        <v>Rhythm &amp; Spikes</v>
      </c>
    </row>
    <row r="34" spans="1:10" ht="16.2" customHeight="1" x14ac:dyDescent="0.3">
      <c r="A34" s="16" t="str">
        <f t="shared" si="3"/>
        <v>Round 8</v>
      </c>
      <c r="B34" s="38">
        <f t="shared" si="3"/>
        <v>46135</v>
      </c>
      <c r="C34" s="26" t="s">
        <v>9</v>
      </c>
      <c r="D34" s="16">
        <v>2</v>
      </c>
      <c r="E34" s="16" t="str">
        <f>F34</f>
        <v>Easties</v>
      </c>
      <c r="F34" s="41" t="s">
        <v>70</v>
      </c>
      <c r="G34" s="41" t="s">
        <v>12</v>
      </c>
      <c r="H34" s="41" t="s">
        <v>74</v>
      </c>
      <c r="I34" s="16" t="str">
        <f>F35</f>
        <v>Sparkles</v>
      </c>
      <c r="J34" s="16"/>
    </row>
    <row r="35" spans="1:10" ht="16.2" customHeight="1" x14ac:dyDescent="0.3">
      <c r="A35" s="16" t="str">
        <f t="shared" si="3"/>
        <v>Round 8</v>
      </c>
      <c r="B35" s="38">
        <f t="shared" si="3"/>
        <v>46135</v>
      </c>
      <c r="C35" s="26" t="s">
        <v>14</v>
      </c>
      <c r="D35" s="16">
        <v>2</v>
      </c>
      <c r="E35" s="16"/>
      <c r="F35" s="41" t="s">
        <v>77</v>
      </c>
      <c r="G35" s="41" t="s">
        <v>12</v>
      </c>
      <c r="H35" s="41" t="s">
        <v>72</v>
      </c>
      <c r="I35" s="16" t="str">
        <f>H34</f>
        <v>On the Ball</v>
      </c>
      <c r="J35" s="16" t="str">
        <f>H35</f>
        <v>Kiss My Ace</v>
      </c>
    </row>
    <row r="36" spans="1:10" ht="16.2" customHeight="1" x14ac:dyDescent="0.3">
      <c r="A36" s="16" t="s">
        <v>35</v>
      </c>
      <c r="B36" s="38">
        <f>B32+7</f>
        <v>46142</v>
      </c>
      <c r="C36" s="26" t="s">
        <v>9</v>
      </c>
      <c r="D36" s="16">
        <v>1</v>
      </c>
      <c r="E36" s="16" t="str">
        <f>F36</f>
        <v>Easties</v>
      </c>
      <c r="F36" s="41" t="s">
        <v>70</v>
      </c>
      <c r="G36" s="41" t="s">
        <v>12</v>
      </c>
      <c r="H36" s="41" t="s">
        <v>77</v>
      </c>
      <c r="I36" s="16" t="str">
        <f>F37</f>
        <v>Kiss My Ace</v>
      </c>
      <c r="J36" s="16"/>
    </row>
    <row r="37" spans="1:10" ht="16.2" customHeight="1" x14ac:dyDescent="0.3">
      <c r="A37" s="16" t="str">
        <f t="shared" si="3"/>
        <v>Round 9</v>
      </c>
      <c r="B37" s="38">
        <f>B36</f>
        <v>46142</v>
      </c>
      <c r="C37" s="26" t="s">
        <v>14</v>
      </c>
      <c r="D37" s="16">
        <v>1</v>
      </c>
      <c r="E37" s="16"/>
      <c r="F37" s="41" t="s">
        <v>72</v>
      </c>
      <c r="G37" s="41" t="s">
        <v>12</v>
      </c>
      <c r="H37" s="41" t="s">
        <v>75</v>
      </c>
      <c r="I37" s="16" t="str">
        <f>H36</f>
        <v>Sparkles</v>
      </c>
      <c r="J37" s="16" t="str">
        <f>H37</f>
        <v>Rhythm &amp; Spikes</v>
      </c>
    </row>
    <row r="38" spans="1:10" ht="16.2" customHeight="1" x14ac:dyDescent="0.3">
      <c r="A38" s="16" t="str">
        <f t="shared" si="3"/>
        <v>Round 9</v>
      </c>
      <c r="B38" s="38">
        <f t="shared" si="3"/>
        <v>46142</v>
      </c>
      <c r="C38" s="26" t="s">
        <v>9</v>
      </c>
      <c r="D38" s="16">
        <v>2</v>
      </c>
      <c r="E38" s="16" t="str">
        <f>F38</f>
        <v>Mixed Bag</v>
      </c>
      <c r="F38" s="41" t="s">
        <v>73</v>
      </c>
      <c r="G38" s="41" t="s">
        <v>12</v>
      </c>
      <c r="H38" s="41" t="s">
        <v>71</v>
      </c>
      <c r="I38" s="16" t="str">
        <f>F39</f>
        <v>On the Ball</v>
      </c>
      <c r="J38" s="16"/>
    </row>
    <row r="39" spans="1:10" ht="16.2" customHeight="1" x14ac:dyDescent="0.3">
      <c r="A39" s="16" t="str">
        <f t="shared" si="3"/>
        <v>Round 9</v>
      </c>
      <c r="B39" s="38">
        <f t="shared" si="3"/>
        <v>46142</v>
      </c>
      <c r="C39" s="26" t="s">
        <v>14</v>
      </c>
      <c r="D39" s="16">
        <v>2</v>
      </c>
      <c r="E39" s="16"/>
      <c r="F39" s="41" t="s">
        <v>74</v>
      </c>
      <c r="G39" s="41" t="s">
        <v>12</v>
      </c>
      <c r="H39" s="41" t="s">
        <v>76</v>
      </c>
      <c r="I39" s="16" t="str">
        <f>H38</f>
        <v>Fitzroy Rebels</v>
      </c>
      <c r="J39" s="16" t="str">
        <f>H39</f>
        <v>The Village</v>
      </c>
    </row>
    <row r="40" spans="1:10" ht="16.2" customHeight="1" x14ac:dyDescent="0.3">
      <c r="A40" s="16" t="s">
        <v>36</v>
      </c>
      <c r="B40" s="38">
        <f>B36+7</f>
        <v>46149</v>
      </c>
      <c r="C40" s="26" t="s">
        <v>9</v>
      </c>
      <c r="D40" s="16">
        <v>1</v>
      </c>
      <c r="E40" s="16" t="str">
        <f>F40</f>
        <v>The Village</v>
      </c>
      <c r="F40" s="41" t="s">
        <v>76</v>
      </c>
      <c r="G40" s="41" t="s">
        <v>12</v>
      </c>
      <c r="H40" s="41" t="s">
        <v>77</v>
      </c>
      <c r="I40" s="16" t="str">
        <f>F41</f>
        <v>Rhythm &amp; Spikes</v>
      </c>
      <c r="J40" s="16"/>
    </row>
    <row r="41" spans="1:10" ht="16.2" customHeight="1" x14ac:dyDescent="0.3">
      <c r="A41" s="16" t="str">
        <f t="shared" si="3"/>
        <v>Round 10</v>
      </c>
      <c r="B41" s="38">
        <f>B40</f>
        <v>46149</v>
      </c>
      <c r="C41" s="26" t="s">
        <v>14</v>
      </c>
      <c r="D41" s="16">
        <v>1</v>
      </c>
      <c r="E41" s="16"/>
      <c r="F41" s="41" t="s">
        <v>75</v>
      </c>
      <c r="G41" s="41" t="s">
        <v>12</v>
      </c>
      <c r="H41" s="41" t="s">
        <v>70</v>
      </c>
      <c r="I41" s="16" t="str">
        <f>H40</f>
        <v>Sparkles</v>
      </c>
      <c r="J41" s="16" t="str">
        <f>H41</f>
        <v>Easties</v>
      </c>
    </row>
    <row r="42" spans="1:10" ht="16.2" customHeight="1" x14ac:dyDescent="0.3">
      <c r="A42" s="16" t="str">
        <f t="shared" si="3"/>
        <v>Round 10</v>
      </c>
      <c r="B42" s="38">
        <f t="shared" si="3"/>
        <v>46149</v>
      </c>
      <c r="C42" s="26" t="s">
        <v>9</v>
      </c>
      <c r="D42" s="16">
        <v>2</v>
      </c>
      <c r="E42" s="16" t="str">
        <f>F42</f>
        <v>Fitzroy Rebels</v>
      </c>
      <c r="F42" s="41" t="s">
        <v>71</v>
      </c>
      <c r="G42" s="41" t="s">
        <v>12</v>
      </c>
      <c r="H42" s="41" t="s">
        <v>72</v>
      </c>
      <c r="I42" s="16" t="str">
        <f>F43</f>
        <v>Mixed Bag</v>
      </c>
      <c r="J42" s="16"/>
    </row>
    <row r="43" spans="1:10" ht="16.2" customHeight="1" x14ac:dyDescent="0.3">
      <c r="A43" s="16" t="str">
        <f t="shared" si="3"/>
        <v>Round 10</v>
      </c>
      <c r="B43" s="38">
        <f t="shared" si="3"/>
        <v>46149</v>
      </c>
      <c r="C43" s="26" t="s">
        <v>14</v>
      </c>
      <c r="D43" s="16">
        <v>2</v>
      </c>
      <c r="E43" s="16"/>
      <c r="F43" s="41" t="s">
        <v>73</v>
      </c>
      <c r="G43" s="41" t="s">
        <v>12</v>
      </c>
      <c r="H43" s="41" t="s">
        <v>74</v>
      </c>
      <c r="I43" s="16" t="str">
        <f>H42</f>
        <v>Kiss My Ace</v>
      </c>
      <c r="J43" s="16" t="str">
        <f>H43</f>
        <v>On the Ball</v>
      </c>
    </row>
    <row r="44" spans="1:10" ht="16.2" customHeight="1" x14ac:dyDescent="0.3">
      <c r="A44" s="16" t="s">
        <v>37</v>
      </c>
      <c r="B44" s="38">
        <f>B40+7</f>
        <v>46156</v>
      </c>
      <c r="C44" s="26" t="s">
        <v>9</v>
      </c>
      <c r="D44" s="16">
        <v>1</v>
      </c>
      <c r="E44" s="16" t="str">
        <f>F44</f>
        <v>Kiss My Ace</v>
      </c>
      <c r="F44" s="41" t="s">
        <v>72</v>
      </c>
      <c r="G44" s="41" t="s">
        <v>12</v>
      </c>
      <c r="H44" s="41" t="s">
        <v>70</v>
      </c>
      <c r="I44" s="16" t="str">
        <f>F45</f>
        <v>On the Ball</v>
      </c>
      <c r="J44" s="16"/>
    </row>
    <row r="45" spans="1:10" ht="16.2" customHeight="1" x14ac:dyDescent="0.3">
      <c r="A45" s="16" t="str">
        <f t="shared" si="3"/>
        <v>Round 11</v>
      </c>
      <c r="B45" s="38">
        <f>B44</f>
        <v>46156</v>
      </c>
      <c r="C45" s="26" t="s">
        <v>14</v>
      </c>
      <c r="D45" s="16">
        <v>1</v>
      </c>
      <c r="E45" s="16"/>
      <c r="F45" s="41" t="s">
        <v>74</v>
      </c>
      <c r="G45" s="41" t="s">
        <v>12</v>
      </c>
      <c r="H45" s="41" t="s">
        <v>71</v>
      </c>
      <c r="I45" s="16" t="str">
        <f>H44</f>
        <v>Easties</v>
      </c>
      <c r="J45" s="16" t="str">
        <f>H45</f>
        <v>Fitzroy Rebels</v>
      </c>
    </row>
    <row r="46" spans="1:10" ht="16.2" customHeight="1" x14ac:dyDescent="0.3">
      <c r="A46" s="16" t="str">
        <f t="shared" ref="A46:B55" si="4">A45</f>
        <v>Round 11</v>
      </c>
      <c r="B46" s="38">
        <f t="shared" si="4"/>
        <v>46156</v>
      </c>
      <c r="C46" s="26" t="s">
        <v>9</v>
      </c>
      <c r="D46" s="16">
        <v>2</v>
      </c>
      <c r="E46" s="16" t="str">
        <f>F46</f>
        <v>Sparkles</v>
      </c>
      <c r="F46" s="41" t="s">
        <v>77</v>
      </c>
      <c r="G46" s="41" t="s">
        <v>12</v>
      </c>
      <c r="H46" s="41" t="s">
        <v>73</v>
      </c>
      <c r="I46" s="16" t="str">
        <f>F47</f>
        <v>The Village</v>
      </c>
      <c r="J46" s="16"/>
    </row>
    <row r="47" spans="1:10" ht="16.2" customHeight="1" x14ac:dyDescent="0.3">
      <c r="A47" s="16" t="str">
        <f t="shared" si="4"/>
        <v>Round 11</v>
      </c>
      <c r="B47" s="38">
        <f t="shared" si="4"/>
        <v>46156</v>
      </c>
      <c r="C47" s="26" t="s">
        <v>14</v>
      </c>
      <c r="D47" s="16">
        <v>2</v>
      </c>
      <c r="E47" s="16"/>
      <c r="F47" s="41" t="s">
        <v>76</v>
      </c>
      <c r="G47" s="41" t="s">
        <v>12</v>
      </c>
      <c r="H47" s="41" t="s">
        <v>75</v>
      </c>
      <c r="I47" s="16" t="str">
        <f>H46</f>
        <v>Mixed Bag</v>
      </c>
      <c r="J47" s="16" t="str">
        <f>H47</f>
        <v>Rhythm &amp; Spikes</v>
      </c>
    </row>
    <row r="48" spans="1:10" ht="16.2" customHeight="1" x14ac:dyDescent="0.3">
      <c r="A48" s="16" t="s">
        <v>38</v>
      </c>
      <c r="B48" s="38">
        <f>B44+7</f>
        <v>46163</v>
      </c>
      <c r="C48" s="26" t="s">
        <v>9</v>
      </c>
      <c r="D48" s="16">
        <v>1</v>
      </c>
      <c r="E48" s="16" t="str">
        <f>F48</f>
        <v>Kiss My Ace</v>
      </c>
      <c r="F48" s="41" t="s">
        <v>72</v>
      </c>
      <c r="G48" s="41" t="s">
        <v>12</v>
      </c>
      <c r="H48" s="41" t="s">
        <v>76</v>
      </c>
      <c r="I48" s="16" t="str">
        <f>F49</f>
        <v>Mixed Bag</v>
      </c>
      <c r="J48" s="16"/>
    </row>
    <row r="49" spans="1:11" ht="16.2" customHeight="1" x14ac:dyDescent="0.3">
      <c r="A49" s="16" t="str">
        <f t="shared" si="4"/>
        <v>Round 12</v>
      </c>
      <c r="B49" s="38">
        <f>B48</f>
        <v>46163</v>
      </c>
      <c r="C49" s="26" t="s">
        <v>14</v>
      </c>
      <c r="D49" s="16">
        <v>1</v>
      </c>
      <c r="E49" s="16"/>
      <c r="F49" s="41" t="s">
        <v>73</v>
      </c>
      <c r="G49" s="41" t="s">
        <v>12</v>
      </c>
      <c r="H49" s="41" t="s">
        <v>75</v>
      </c>
      <c r="I49" s="16" t="str">
        <f>H48</f>
        <v>The Village</v>
      </c>
      <c r="J49" s="16" t="str">
        <f>H49</f>
        <v>Rhythm &amp; Spikes</v>
      </c>
    </row>
    <row r="50" spans="1:11" ht="16.2" customHeight="1" x14ac:dyDescent="0.3">
      <c r="A50" s="16" t="str">
        <f t="shared" si="4"/>
        <v>Round 12</v>
      </c>
      <c r="B50" s="38">
        <f t="shared" si="4"/>
        <v>46163</v>
      </c>
      <c r="C50" s="26" t="s">
        <v>9</v>
      </c>
      <c r="D50" s="16">
        <v>2</v>
      </c>
      <c r="E50" s="16" t="str">
        <f>F50</f>
        <v>Fitzroy Rebels</v>
      </c>
      <c r="F50" s="41" t="s">
        <v>71</v>
      </c>
      <c r="G50" s="41" t="s">
        <v>12</v>
      </c>
      <c r="H50" s="41" t="s">
        <v>70</v>
      </c>
      <c r="I50" s="16" t="str">
        <f>F51</f>
        <v>Sparkles</v>
      </c>
      <c r="J50" s="16"/>
    </row>
    <row r="51" spans="1:11" ht="16.2" customHeight="1" x14ac:dyDescent="0.3">
      <c r="A51" s="16" t="str">
        <f t="shared" si="4"/>
        <v>Round 12</v>
      </c>
      <c r="B51" s="38">
        <f t="shared" si="4"/>
        <v>46163</v>
      </c>
      <c r="C51" s="26" t="s">
        <v>14</v>
      </c>
      <c r="D51" s="16">
        <v>2</v>
      </c>
      <c r="E51" s="16"/>
      <c r="F51" s="41" t="s">
        <v>77</v>
      </c>
      <c r="G51" s="41" t="s">
        <v>12</v>
      </c>
      <c r="H51" s="41" t="s">
        <v>74</v>
      </c>
      <c r="I51" s="16" t="str">
        <f>H50</f>
        <v>Easties</v>
      </c>
      <c r="J51" s="16" t="str">
        <f>H51</f>
        <v>On the Ball</v>
      </c>
    </row>
    <row r="52" spans="1:11" ht="16.2" customHeight="1" x14ac:dyDescent="0.3">
      <c r="A52" s="16" t="s">
        <v>39</v>
      </c>
      <c r="B52" s="38">
        <f>B48+7</f>
        <v>46170</v>
      </c>
      <c r="C52" s="26" t="s">
        <v>9</v>
      </c>
      <c r="D52" s="16">
        <v>1</v>
      </c>
      <c r="E52" s="16" t="str">
        <f>F52</f>
        <v>Easties</v>
      </c>
      <c r="F52" s="41" t="s">
        <v>70</v>
      </c>
      <c r="G52" s="41" t="s">
        <v>12</v>
      </c>
      <c r="H52" s="41" t="s">
        <v>76</v>
      </c>
      <c r="I52" s="16" t="str">
        <f>F53</f>
        <v>Mixed Bag</v>
      </c>
      <c r="J52" s="16"/>
    </row>
    <row r="53" spans="1:11" ht="16.2" customHeight="1" x14ac:dyDescent="0.3">
      <c r="A53" s="16" t="str">
        <f t="shared" si="4"/>
        <v>Round 13</v>
      </c>
      <c r="B53" s="38">
        <f>B52</f>
        <v>46170</v>
      </c>
      <c r="C53" s="26" t="s">
        <v>14</v>
      </c>
      <c r="D53" s="16">
        <v>1</v>
      </c>
      <c r="E53" s="16"/>
      <c r="F53" s="41" t="s">
        <v>73</v>
      </c>
      <c r="G53" s="41" t="s">
        <v>12</v>
      </c>
      <c r="H53" s="41" t="s">
        <v>72</v>
      </c>
      <c r="I53" s="16" t="str">
        <f>H52</f>
        <v>The Village</v>
      </c>
      <c r="J53" s="16" t="str">
        <f>H53</f>
        <v>Kiss My Ace</v>
      </c>
    </row>
    <row r="54" spans="1:11" ht="16.2" customHeight="1" x14ac:dyDescent="0.3">
      <c r="A54" s="16" t="str">
        <f t="shared" si="4"/>
        <v>Round 13</v>
      </c>
      <c r="B54" s="38">
        <f t="shared" si="4"/>
        <v>46170</v>
      </c>
      <c r="C54" s="26" t="s">
        <v>9</v>
      </c>
      <c r="D54" s="16">
        <v>2</v>
      </c>
      <c r="E54" s="16" t="str">
        <f>F54</f>
        <v>Rhythm &amp; Spikes</v>
      </c>
      <c r="F54" s="41" t="s">
        <v>75</v>
      </c>
      <c r="G54" s="41" t="s">
        <v>12</v>
      </c>
      <c r="H54" s="41" t="s">
        <v>74</v>
      </c>
      <c r="I54" s="16" t="str">
        <f>F55</f>
        <v>Sparkles</v>
      </c>
      <c r="J54" s="16"/>
    </row>
    <row r="55" spans="1:11" ht="16.2" customHeight="1" x14ac:dyDescent="0.3">
      <c r="A55" s="16" t="str">
        <f t="shared" si="4"/>
        <v>Round 13</v>
      </c>
      <c r="B55" s="38">
        <f t="shared" si="4"/>
        <v>46170</v>
      </c>
      <c r="C55" s="26" t="s">
        <v>14</v>
      </c>
      <c r="D55" s="16">
        <v>2</v>
      </c>
      <c r="E55" s="16"/>
      <c r="F55" s="41" t="s">
        <v>77</v>
      </c>
      <c r="G55" s="41" t="s">
        <v>12</v>
      </c>
      <c r="H55" s="41" t="s">
        <v>71</v>
      </c>
      <c r="I55" s="16" t="str">
        <f>H54</f>
        <v>On the Ball</v>
      </c>
      <c r="J55" s="16" t="str">
        <f>H55</f>
        <v>Fitzroy Rebels</v>
      </c>
    </row>
    <row r="56" spans="1:11" ht="16.2" customHeight="1" x14ac:dyDescent="0.3">
      <c r="A56" s="16" t="s">
        <v>40</v>
      </c>
      <c r="B56" s="38">
        <f>B52+7</f>
        <v>46177</v>
      </c>
      <c r="C56" s="26" t="s">
        <v>9</v>
      </c>
      <c r="D56" s="16">
        <v>1</v>
      </c>
      <c r="E56" s="16" t="str">
        <f>F56</f>
        <v>Sparkles</v>
      </c>
      <c r="F56" s="41" t="s">
        <v>77</v>
      </c>
      <c r="G56" s="41" t="s">
        <v>12</v>
      </c>
      <c r="H56" s="41" t="s">
        <v>73</v>
      </c>
      <c r="I56" s="16" t="str">
        <f>F57</f>
        <v>On the Ball</v>
      </c>
      <c r="J56" s="16"/>
    </row>
    <row r="57" spans="1:11" ht="16.2" customHeight="1" x14ac:dyDescent="0.3">
      <c r="A57" s="16" t="str">
        <f t="shared" ref="A57:B59" si="5">A56</f>
        <v>Round 14</v>
      </c>
      <c r="B57" s="38">
        <f>B56</f>
        <v>46177</v>
      </c>
      <c r="C57" s="26" t="s">
        <v>14</v>
      </c>
      <c r="D57" s="16">
        <v>1</v>
      </c>
      <c r="E57" s="16"/>
      <c r="F57" s="41" t="s">
        <v>74</v>
      </c>
      <c r="G57" s="41" t="s">
        <v>12</v>
      </c>
      <c r="H57" s="41" t="s">
        <v>72</v>
      </c>
      <c r="I57" s="16" t="str">
        <f>H56</f>
        <v>Mixed Bag</v>
      </c>
      <c r="J57" s="16" t="str">
        <f>H57</f>
        <v>Kiss My Ace</v>
      </c>
    </row>
    <row r="58" spans="1:11" ht="16.2" customHeight="1" x14ac:dyDescent="0.3">
      <c r="A58" s="16" t="str">
        <f t="shared" si="5"/>
        <v>Round 14</v>
      </c>
      <c r="B58" s="38">
        <f t="shared" si="5"/>
        <v>46177</v>
      </c>
      <c r="C58" s="26" t="s">
        <v>9</v>
      </c>
      <c r="D58" s="16">
        <v>2</v>
      </c>
      <c r="E58" s="16" t="str">
        <f>F58</f>
        <v>Easties</v>
      </c>
      <c r="F58" s="41" t="s">
        <v>70</v>
      </c>
      <c r="G58" s="41" t="s">
        <v>12</v>
      </c>
      <c r="H58" s="41" t="s">
        <v>75</v>
      </c>
      <c r="I58" s="16" t="str">
        <f>F59</f>
        <v>Fitzroy Rebels</v>
      </c>
      <c r="J58" s="16"/>
    </row>
    <row r="59" spans="1:11" ht="16.2" customHeight="1" x14ac:dyDescent="0.3">
      <c r="A59" s="16" t="str">
        <f t="shared" si="5"/>
        <v>Round 14</v>
      </c>
      <c r="B59" s="38">
        <f t="shared" si="5"/>
        <v>46177</v>
      </c>
      <c r="C59" s="26" t="s">
        <v>14</v>
      </c>
      <c r="D59" s="16">
        <v>2</v>
      </c>
      <c r="E59" s="16"/>
      <c r="F59" s="41" t="s">
        <v>71</v>
      </c>
      <c r="G59" s="41" t="s">
        <v>12</v>
      </c>
      <c r="H59" s="41" t="s">
        <v>76</v>
      </c>
      <c r="I59" s="16" t="str">
        <f>H58</f>
        <v>Rhythm &amp; Spikes</v>
      </c>
      <c r="J59" s="16" t="str">
        <f>H59</f>
        <v>The Village</v>
      </c>
    </row>
    <row r="61" spans="1:11" ht="16.2" customHeight="1" x14ac:dyDescent="0.3">
      <c r="K61" s="20"/>
    </row>
    <row r="62" spans="1:11" ht="16.2" customHeight="1" x14ac:dyDescent="0.3">
      <c r="K62" s="20"/>
    </row>
    <row r="64" spans="1:11" ht="16.2" customHeight="1" x14ac:dyDescent="0.3">
      <c r="K64" s="20"/>
    </row>
    <row r="65" spans="11:11" ht="16.2" customHeight="1" x14ac:dyDescent="0.3">
      <c r="K65" s="20"/>
    </row>
  </sheetData>
  <pageMargins left="0.70866141732283472" right="0.70866141732283472" top="0.55118110236220474" bottom="0.55118110236220474" header="0.31496062992125984" footer="0.31496062992125984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Mixed 2026 Season 1</vt:lpstr>
      <vt:lpstr>Ladies 2026 Season 1</vt:lpstr>
      <vt:lpstr>Ladder</vt:lpstr>
      <vt:lpstr>Best and Fairest</vt:lpstr>
      <vt:lpstr>2 x 8 team grades</vt:lpstr>
      <vt:lpstr>18 team set up</vt:lpstr>
      <vt:lpstr>Ladies 6 draw</vt:lpstr>
      <vt:lpstr>Mixed to print</vt:lpstr>
      <vt:lpstr>Ladies to 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HUGGETT, Rebecca (rhugg6)</dc:creator>
  <cp:lastModifiedBy>HUGGETT, Rebecca (rhugg6)</cp:lastModifiedBy>
  <cp:lastPrinted>2026-02-16T16:04:14Z</cp:lastPrinted>
  <dcterms:created xsi:type="dcterms:W3CDTF">2025-02-06T06:11:47Z</dcterms:created>
  <dcterms:modified xsi:type="dcterms:W3CDTF">2026-02-19T10:04:41Z</dcterms:modified>
</cp:coreProperties>
</file>