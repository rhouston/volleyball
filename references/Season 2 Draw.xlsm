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hugg6\Desktop\Season 2\Draws\"/>
    </mc:Choice>
  </mc:AlternateContent>
  <xr:revisionPtr revIDLastSave="0" documentId="13_ncr:1_{1FCA6AC3-34B7-48DC-A3D9-D32654E628E9}" xr6:coauthVersionLast="47" xr6:coauthVersionMax="47" xr10:uidLastSave="{00000000-0000-0000-0000-000000000000}"/>
  <bookViews>
    <workbookView xWindow="-108" yWindow="-108" windowWidth="23256" windowHeight="12456" firstSheet="2" activeTab="10" xr2:uid="{6F11C69F-82FC-4CF1-AD11-611915ED86AE}"/>
  </bookViews>
  <sheets>
    <sheet name="Grading 1" sheetId="1" r:id="rId1"/>
    <sheet name="Grading 2" sheetId="17" r:id="rId2"/>
    <sheet name="Ladder" sheetId="5" r:id="rId3"/>
    <sheet name="Best and Fairest" sheetId="6" r:id="rId4"/>
    <sheet name="A Grade" sheetId="30" r:id="rId5"/>
    <sheet name="B Grade" sheetId="28" r:id="rId6"/>
    <sheet name="C Grade" sheetId="29" r:id="rId7"/>
    <sheet name="Ladies" sheetId="32" r:id="rId8"/>
    <sheet name="Mens short" sheetId="33" r:id="rId9"/>
    <sheet name="Ladies 7 team" sheetId="26" r:id="rId10"/>
    <sheet name="Finals" sheetId="7" r:id="rId11"/>
    <sheet name="5 Team draw" sheetId="24" r:id="rId12"/>
    <sheet name="9 and 10 team draw" sheetId="25" r:id="rId13"/>
    <sheet name="6 team draw" sheetId="13" r:id="rId14"/>
    <sheet name="7 team draw" sheetId="15" r:id="rId15"/>
    <sheet name="8 and 8 draw" sheetId="22" r:id="rId16"/>
    <sheet name="8 and 10 team" sheetId="3" r:id="rId17"/>
  </sheets>
  <definedNames>
    <definedName name="_xlnm._FilterDatabase" localSheetId="2" hidden="1">Ladder!$T$2:$Y$9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90" i="5" l="1"/>
  <c r="J87" i="5"/>
  <c r="I49" i="29"/>
  <c r="I66" i="28"/>
  <c r="I49" i="32"/>
  <c r="I66" i="30"/>
  <c r="E64" i="30"/>
  <c r="V32" i="5"/>
  <c r="V37" i="5"/>
  <c r="V36" i="5"/>
  <c r="V35" i="5"/>
  <c r="V34" i="5"/>
  <c r="V33" i="5"/>
  <c r="X39" i="6" a="1"/>
  <c r="X39" i="6" s="1"/>
  <c r="X40" i="6" s="1"/>
  <c r="W39" i="6" a="1"/>
  <c r="W39" i="6" s="1"/>
  <c r="W40" i="6" s="1"/>
  <c r="V39" i="6" a="1"/>
  <c r="V39" i="6" s="1"/>
  <c r="V40" i="6" s="1"/>
  <c r="U39" i="6" a="1"/>
  <c r="U39" i="6" s="1"/>
  <c r="U40" i="6" s="1"/>
  <c r="T39" i="6" a="1"/>
  <c r="T39" i="6" s="1"/>
  <c r="T40" i="6" s="1"/>
  <c r="S39" i="6" a="1"/>
  <c r="S39" i="6" s="1"/>
  <c r="S40" i="6" s="1"/>
  <c r="R39" i="6" a="1"/>
  <c r="R39" i="6" s="1"/>
  <c r="R40" i="6" s="1"/>
  <c r="Q98" i="5"/>
  <c r="Q97" i="5"/>
  <c r="P96" i="5"/>
  <c r="O96" i="5"/>
  <c r="N96" i="5"/>
  <c r="M96" i="5"/>
  <c r="L96" i="5"/>
  <c r="K96" i="5"/>
  <c r="J96" i="5"/>
  <c r="I96" i="5"/>
  <c r="H96" i="5"/>
  <c r="G96" i="5"/>
  <c r="F96" i="5"/>
  <c r="E96" i="5"/>
  <c r="D96" i="5"/>
  <c r="C96" i="5"/>
  <c r="Q95" i="5"/>
  <c r="Q94" i="5"/>
  <c r="P93" i="5"/>
  <c r="O93" i="5"/>
  <c r="N93" i="5"/>
  <c r="M93" i="5"/>
  <c r="L93" i="5"/>
  <c r="K93" i="5"/>
  <c r="J93" i="5"/>
  <c r="I93" i="5"/>
  <c r="H93" i="5"/>
  <c r="G93" i="5"/>
  <c r="F93" i="5"/>
  <c r="E93" i="5"/>
  <c r="D93" i="5"/>
  <c r="C93" i="5"/>
  <c r="Q92" i="5"/>
  <c r="Q91" i="5"/>
  <c r="P90" i="5"/>
  <c r="O90" i="5"/>
  <c r="N90" i="5"/>
  <c r="M90" i="5"/>
  <c r="L90" i="5"/>
  <c r="K90" i="5"/>
  <c r="I90" i="5"/>
  <c r="H90" i="5"/>
  <c r="G90" i="5"/>
  <c r="F90" i="5"/>
  <c r="E90" i="5"/>
  <c r="D90" i="5"/>
  <c r="C90" i="5"/>
  <c r="Q89" i="5"/>
  <c r="Q88" i="5"/>
  <c r="P87" i="5"/>
  <c r="O87" i="5"/>
  <c r="N87" i="5"/>
  <c r="M87" i="5"/>
  <c r="L87" i="5"/>
  <c r="K87" i="5"/>
  <c r="I87" i="5"/>
  <c r="H87" i="5"/>
  <c r="G87" i="5"/>
  <c r="F87" i="5"/>
  <c r="E87" i="5"/>
  <c r="D87" i="5"/>
  <c r="C87" i="5"/>
  <c r="Q86" i="5"/>
  <c r="Q85" i="5"/>
  <c r="P84" i="5"/>
  <c r="O84" i="5"/>
  <c r="N84" i="5"/>
  <c r="M84" i="5"/>
  <c r="L84" i="5"/>
  <c r="K84" i="5"/>
  <c r="J84" i="5"/>
  <c r="I84" i="5"/>
  <c r="H84" i="5"/>
  <c r="G84" i="5"/>
  <c r="F84" i="5"/>
  <c r="E84" i="5"/>
  <c r="D84" i="5"/>
  <c r="C84" i="5"/>
  <c r="E23" i="33"/>
  <c r="E20" i="33"/>
  <c r="E17" i="33"/>
  <c r="E14" i="33"/>
  <c r="E11" i="33"/>
  <c r="E8" i="33"/>
  <c r="E5" i="33"/>
  <c r="E2" i="33"/>
  <c r="J24" i="33"/>
  <c r="J18" i="33"/>
  <c r="J15" i="33"/>
  <c r="J12" i="33"/>
  <c r="J6" i="33"/>
  <c r="J3" i="33"/>
  <c r="J32" i="33" s="1"/>
  <c r="I24" i="33"/>
  <c r="I23" i="33"/>
  <c r="I21" i="33"/>
  <c r="I20" i="33"/>
  <c r="I18" i="33"/>
  <c r="I17" i="33"/>
  <c r="I15" i="33"/>
  <c r="I14" i="33"/>
  <c r="I12" i="33"/>
  <c r="I11" i="33"/>
  <c r="I9" i="33"/>
  <c r="I8" i="33"/>
  <c r="I6" i="33"/>
  <c r="I5" i="33"/>
  <c r="I3" i="33"/>
  <c r="I2" i="33"/>
  <c r="J33" i="33"/>
  <c r="H33" i="33"/>
  <c r="F33" i="33"/>
  <c r="H32" i="33"/>
  <c r="F32" i="33"/>
  <c r="H31" i="33"/>
  <c r="F31" i="33"/>
  <c r="J30" i="33"/>
  <c r="H30" i="33"/>
  <c r="F30" i="33"/>
  <c r="H29" i="33"/>
  <c r="F29" i="33"/>
  <c r="J26" i="33"/>
  <c r="E26" i="33"/>
  <c r="B5" i="33"/>
  <c r="B8" i="33" s="1"/>
  <c r="B11" i="33" s="1"/>
  <c r="B12" i="33" s="1"/>
  <c r="B13" i="33" s="1"/>
  <c r="B3" i="33"/>
  <c r="B4" i="33" s="1"/>
  <c r="K68" i="5"/>
  <c r="J39" i="5"/>
  <c r="F80" i="5"/>
  <c r="E80" i="5"/>
  <c r="Q82" i="5"/>
  <c r="Q81" i="5"/>
  <c r="P80" i="5"/>
  <c r="O80" i="5"/>
  <c r="N80" i="5"/>
  <c r="M80" i="5"/>
  <c r="L80" i="5"/>
  <c r="K80" i="5"/>
  <c r="J80" i="5"/>
  <c r="I80" i="5"/>
  <c r="H80" i="5"/>
  <c r="G80" i="5"/>
  <c r="D80" i="5"/>
  <c r="C80" i="5"/>
  <c r="Q79" i="5"/>
  <c r="Q78" i="5"/>
  <c r="P77" i="5"/>
  <c r="O77" i="5"/>
  <c r="N77" i="5"/>
  <c r="M77" i="5"/>
  <c r="L77" i="5"/>
  <c r="K77" i="5"/>
  <c r="J77" i="5"/>
  <c r="I77" i="5"/>
  <c r="H77" i="5"/>
  <c r="G77" i="5"/>
  <c r="F77" i="5"/>
  <c r="E77" i="5"/>
  <c r="D77" i="5"/>
  <c r="C77" i="5"/>
  <c r="Q76" i="5"/>
  <c r="Q75" i="5"/>
  <c r="P74" i="5"/>
  <c r="O74" i="5"/>
  <c r="N74" i="5"/>
  <c r="M74" i="5"/>
  <c r="L74" i="5"/>
  <c r="K74" i="5"/>
  <c r="J74" i="5"/>
  <c r="I74" i="5"/>
  <c r="H74" i="5"/>
  <c r="G74" i="5"/>
  <c r="F74" i="5"/>
  <c r="E74" i="5"/>
  <c r="D74" i="5"/>
  <c r="C74" i="5"/>
  <c r="Q73" i="5"/>
  <c r="Q72" i="5"/>
  <c r="P71" i="5"/>
  <c r="O71" i="5"/>
  <c r="N71" i="5"/>
  <c r="M71" i="5"/>
  <c r="L71" i="5"/>
  <c r="K71" i="5"/>
  <c r="J71" i="5"/>
  <c r="I71" i="5"/>
  <c r="H71" i="5"/>
  <c r="G71" i="5"/>
  <c r="F71" i="5"/>
  <c r="E71" i="5"/>
  <c r="D71" i="5"/>
  <c r="C71" i="5"/>
  <c r="Q70" i="5"/>
  <c r="Q69" i="5"/>
  <c r="P68" i="5"/>
  <c r="O68" i="5"/>
  <c r="N68" i="5"/>
  <c r="M68" i="5"/>
  <c r="L68" i="5"/>
  <c r="J68" i="5"/>
  <c r="I68" i="5"/>
  <c r="H68" i="5"/>
  <c r="G68" i="5"/>
  <c r="F68" i="5"/>
  <c r="E68" i="5"/>
  <c r="D68" i="5"/>
  <c r="C68" i="5"/>
  <c r="Q67" i="5"/>
  <c r="Q66" i="5"/>
  <c r="P65" i="5"/>
  <c r="O65" i="5"/>
  <c r="N65" i="5"/>
  <c r="M65" i="5"/>
  <c r="L65" i="5"/>
  <c r="K65" i="5"/>
  <c r="J65" i="5"/>
  <c r="I65" i="5"/>
  <c r="H65" i="5"/>
  <c r="G65" i="5"/>
  <c r="F65" i="5"/>
  <c r="E65" i="5"/>
  <c r="D65" i="5"/>
  <c r="C65" i="5"/>
  <c r="Q63" i="5"/>
  <c r="Q62" i="5"/>
  <c r="P61" i="5"/>
  <c r="O61" i="5"/>
  <c r="N61" i="5"/>
  <c r="M61" i="5"/>
  <c r="L61" i="5"/>
  <c r="K61" i="5"/>
  <c r="J61" i="5"/>
  <c r="I61" i="5"/>
  <c r="H61" i="5"/>
  <c r="G61" i="5"/>
  <c r="F61" i="5"/>
  <c r="E61" i="5"/>
  <c r="D61" i="5"/>
  <c r="C61" i="5"/>
  <c r="V31" i="5"/>
  <c r="Q60" i="5"/>
  <c r="V30" i="5"/>
  <c r="Q59" i="5"/>
  <c r="V29" i="5"/>
  <c r="P58" i="5"/>
  <c r="O58" i="5"/>
  <c r="N58" i="5"/>
  <c r="M58" i="5"/>
  <c r="L58" i="5"/>
  <c r="K58" i="5"/>
  <c r="J58" i="5"/>
  <c r="I58" i="5"/>
  <c r="H58" i="5"/>
  <c r="G58" i="5"/>
  <c r="F58" i="5"/>
  <c r="E58" i="5"/>
  <c r="D58" i="5"/>
  <c r="C58" i="5"/>
  <c r="V28" i="5"/>
  <c r="Q57" i="5"/>
  <c r="V27" i="5"/>
  <c r="Q56" i="5"/>
  <c r="V26" i="5"/>
  <c r="P55" i="5"/>
  <c r="O55" i="5"/>
  <c r="N55" i="5"/>
  <c r="M55" i="5"/>
  <c r="L55" i="5"/>
  <c r="K55" i="5"/>
  <c r="J55" i="5"/>
  <c r="I55" i="5"/>
  <c r="H55" i="5"/>
  <c r="G55" i="5"/>
  <c r="F55" i="5"/>
  <c r="E55" i="5"/>
  <c r="D55" i="5"/>
  <c r="C55" i="5"/>
  <c r="V25" i="5"/>
  <c r="Q54" i="5"/>
  <c r="Q53" i="5"/>
  <c r="V24" i="5"/>
  <c r="P52" i="5"/>
  <c r="O52" i="5"/>
  <c r="N52" i="5"/>
  <c r="M52" i="5"/>
  <c r="L52" i="5"/>
  <c r="K52" i="5"/>
  <c r="J52" i="5"/>
  <c r="I52" i="5"/>
  <c r="H52" i="5"/>
  <c r="G52" i="5"/>
  <c r="F52" i="5"/>
  <c r="E52" i="5"/>
  <c r="D52" i="5"/>
  <c r="C52" i="5"/>
  <c r="V23" i="5"/>
  <c r="Q51" i="5"/>
  <c r="V22" i="5"/>
  <c r="Q50" i="5"/>
  <c r="V21" i="5"/>
  <c r="P49" i="5"/>
  <c r="O49" i="5"/>
  <c r="N49" i="5"/>
  <c r="M49" i="5"/>
  <c r="L49" i="5"/>
  <c r="K49" i="5"/>
  <c r="J49" i="5"/>
  <c r="I49" i="5"/>
  <c r="H49" i="5"/>
  <c r="G49" i="5"/>
  <c r="F49" i="5"/>
  <c r="E49" i="5"/>
  <c r="D49" i="5"/>
  <c r="C49" i="5"/>
  <c r="V20" i="5"/>
  <c r="Q48" i="5"/>
  <c r="V19" i="5"/>
  <c r="Q47" i="5"/>
  <c r="V18" i="5"/>
  <c r="P46" i="5"/>
  <c r="O46" i="5"/>
  <c r="N46" i="5"/>
  <c r="M46" i="5"/>
  <c r="L46" i="5"/>
  <c r="K46" i="5"/>
  <c r="J46" i="5"/>
  <c r="I46" i="5"/>
  <c r="H46" i="5"/>
  <c r="G46" i="5"/>
  <c r="F46" i="5"/>
  <c r="E46" i="5"/>
  <c r="D46" i="5"/>
  <c r="C46" i="5"/>
  <c r="J50" i="32"/>
  <c r="E50" i="32"/>
  <c r="J49" i="32"/>
  <c r="E49" i="32"/>
  <c r="J48" i="32"/>
  <c r="I48" i="32"/>
  <c r="I47" i="32"/>
  <c r="E47" i="32"/>
  <c r="J46" i="32"/>
  <c r="I46" i="32"/>
  <c r="J45" i="32"/>
  <c r="I45" i="32"/>
  <c r="I44" i="32"/>
  <c r="E44" i="32"/>
  <c r="J43" i="32"/>
  <c r="I43" i="32"/>
  <c r="J42" i="32"/>
  <c r="I42" i="32"/>
  <c r="I41" i="32"/>
  <c r="E41" i="32"/>
  <c r="J40" i="32"/>
  <c r="I40" i="32"/>
  <c r="J39" i="32"/>
  <c r="I39" i="32"/>
  <c r="I38" i="32"/>
  <c r="E38" i="32"/>
  <c r="J37" i="32"/>
  <c r="I37" i="32"/>
  <c r="J36" i="32"/>
  <c r="I36" i="32"/>
  <c r="I35" i="32"/>
  <c r="E35" i="32"/>
  <c r="J34" i="32"/>
  <c r="I34" i="32"/>
  <c r="J33" i="32"/>
  <c r="I33" i="32"/>
  <c r="I32" i="32"/>
  <c r="E32" i="32"/>
  <c r="J31" i="32"/>
  <c r="I31" i="32"/>
  <c r="J30" i="32"/>
  <c r="I30" i="32"/>
  <c r="I29" i="32"/>
  <c r="E29" i="32"/>
  <c r="J25" i="32"/>
  <c r="I25" i="32"/>
  <c r="J24" i="32"/>
  <c r="I24" i="32"/>
  <c r="I23" i="32"/>
  <c r="E23" i="32"/>
  <c r="J22" i="32"/>
  <c r="I22" i="32"/>
  <c r="J21" i="32"/>
  <c r="I21" i="32"/>
  <c r="I20" i="32"/>
  <c r="E20" i="32"/>
  <c r="J19" i="32"/>
  <c r="I19" i="32"/>
  <c r="J18" i="32"/>
  <c r="I18" i="32"/>
  <c r="I17" i="32"/>
  <c r="E17" i="32"/>
  <c r="J16" i="32"/>
  <c r="I16" i="32"/>
  <c r="J15" i="32"/>
  <c r="I15" i="32"/>
  <c r="I14" i="32"/>
  <c r="E14" i="32"/>
  <c r="J13" i="32"/>
  <c r="J62" i="32" s="1"/>
  <c r="I13" i="32"/>
  <c r="J12" i="32"/>
  <c r="I12" i="32"/>
  <c r="I11" i="32"/>
  <c r="E11" i="32"/>
  <c r="J10" i="32"/>
  <c r="I10" i="32"/>
  <c r="J9" i="32"/>
  <c r="I9" i="32"/>
  <c r="I8" i="32"/>
  <c r="E8" i="32"/>
  <c r="J7" i="32"/>
  <c r="I7" i="32"/>
  <c r="J6" i="32"/>
  <c r="I6" i="32"/>
  <c r="B6" i="32"/>
  <c r="B7" i="32" s="1"/>
  <c r="I5" i="32"/>
  <c r="I60" i="32" s="1"/>
  <c r="E5" i="32"/>
  <c r="B5" i="32"/>
  <c r="B8" i="32" s="1"/>
  <c r="J4" i="32"/>
  <c r="J3" i="32"/>
  <c r="I3" i="32"/>
  <c r="I62" i="32" s="1"/>
  <c r="B3" i="32"/>
  <c r="B4" i="32" s="1"/>
  <c r="E2" i="32"/>
  <c r="E56" i="32" s="1"/>
  <c r="H62" i="32"/>
  <c r="F62" i="32"/>
  <c r="A62" i="32" s="1"/>
  <c r="H61" i="32"/>
  <c r="F61" i="32"/>
  <c r="A61" i="32" s="1"/>
  <c r="H60" i="32"/>
  <c r="F60" i="32"/>
  <c r="H59" i="32"/>
  <c r="F59" i="32"/>
  <c r="A59" i="32" s="1"/>
  <c r="H58" i="32"/>
  <c r="F58" i="32"/>
  <c r="A58" i="32" s="1"/>
  <c r="I57" i="32"/>
  <c r="H57" i="32"/>
  <c r="F57" i="32"/>
  <c r="H56" i="32"/>
  <c r="F56" i="32"/>
  <c r="A56" i="32" s="1"/>
  <c r="E58" i="32"/>
  <c r="R97" i="5" l="1"/>
  <c r="U37" i="5" s="1"/>
  <c r="Q40" i="6"/>
  <c r="R85" i="5"/>
  <c r="U33" i="5" s="1"/>
  <c r="R88" i="5"/>
  <c r="U34" i="5" s="1"/>
  <c r="R91" i="5"/>
  <c r="U35" i="5" s="1"/>
  <c r="R94" i="5"/>
  <c r="U36" i="5" s="1"/>
  <c r="R84" i="5"/>
  <c r="T33" i="5" s="1"/>
  <c r="R96" i="5"/>
  <c r="T37" i="5" s="1"/>
  <c r="R93" i="5"/>
  <c r="T36" i="5" s="1"/>
  <c r="R90" i="5"/>
  <c r="T35" i="5" s="1"/>
  <c r="R87" i="5"/>
  <c r="T34" i="5" s="1"/>
  <c r="E31" i="33"/>
  <c r="J31" i="33"/>
  <c r="J29" i="33"/>
  <c r="E30" i="33"/>
  <c r="E32" i="33"/>
  <c r="E33" i="33"/>
  <c r="E29" i="33"/>
  <c r="B14" i="33"/>
  <c r="B15" i="33" s="1"/>
  <c r="B16" i="33" s="1"/>
  <c r="B9" i="33"/>
  <c r="B10" i="33" s="1"/>
  <c r="I33" i="33"/>
  <c r="I30" i="33"/>
  <c r="A31" i="33"/>
  <c r="A33" i="33"/>
  <c r="I32" i="33"/>
  <c r="I29" i="33"/>
  <c r="I31" i="33"/>
  <c r="A29" i="33"/>
  <c r="A30" i="33"/>
  <c r="A32" i="33"/>
  <c r="B6" i="33"/>
  <c r="B7" i="33" s="1"/>
  <c r="R53" i="5"/>
  <c r="U21" i="5" s="1"/>
  <c r="R62" i="5"/>
  <c r="U24" i="5" s="1"/>
  <c r="R78" i="5"/>
  <c r="U30" i="5" s="1"/>
  <c r="R47" i="5"/>
  <c r="U19" i="5" s="1"/>
  <c r="R81" i="5"/>
  <c r="U31" i="5" s="1"/>
  <c r="R66" i="5"/>
  <c r="U26" i="5" s="1"/>
  <c r="R72" i="5"/>
  <c r="U28" i="5" s="1"/>
  <c r="R75" i="5"/>
  <c r="U29" i="5" s="1"/>
  <c r="R69" i="5"/>
  <c r="U27" i="5" s="1"/>
  <c r="R61" i="5"/>
  <c r="T24" i="5" s="1"/>
  <c r="R50" i="5"/>
  <c r="U20" i="5" s="1"/>
  <c r="R56" i="5"/>
  <c r="U22" i="5" s="1"/>
  <c r="R59" i="5"/>
  <c r="U23" i="5" s="1"/>
  <c r="R65" i="5"/>
  <c r="T26" i="5" s="1"/>
  <c r="R55" i="5"/>
  <c r="T22" i="5" s="1"/>
  <c r="R77" i="5"/>
  <c r="T30" i="5" s="1"/>
  <c r="R80" i="5"/>
  <c r="T31" i="5" s="1"/>
  <c r="R68" i="5"/>
  <c r="T27" i="5" s="1"/>
  <c r="R58" i="5"/>
  <c r="T23" i="5" s="1"/>
  <c r="R46" i="5"/>
  <c r="T19" i="5" s="1"/>
  <c r="R74" i="5"/>
  <c r="T29" i="5" s="1"/>
  <c r="R49" i="5"/>
  <c r="T20" i="5" s="1"/>
  <c r="R52" i="5"/>
  <c r="T21" i="5" s="1"/>
  <c r="R71" i="5"/>
  <c r="T28" i="5" s="1"/>
  <c r="B11" i="32"/>
  <c r="B9" i="32"/>
  <c r="B10" i="32" s="1"/>
  <c r="I61" i="32"/>
  <c r="I58" i="32"/>
  <c r="B58" i="32" s="1"/>
  <c r="I56" i="32"/>
  <c r="A57" i="32"/>
  <c r="I59" i="32"/>
  <c r="A60" i="32"/>
  <c r="E59" i="32"/>
  <c r="E57" i="32"/>
  <c r="B57" i="32" s="1"/>
  <c r="J61" i="32"/>
  <c r="J60" i="32"/>
  <c r="J59" i="32"/>
  <c r="J58" i="32"/>
  <c r="E62" i="32"/>
  <c r="B62" i="32" s="1"/>
  <c r="J57" i="32"/>
  <c r="E61" i="32"/>
  <c r="J56" i="32"/>
  <c r="B56" i="32" s="1"/>
  <c r="E60" i="32"/>
  <c r="B60" i="32" s="1"/>
  <c r="B29" i="33" l="1"/>
  <c r="B31" i="33"/>
  <c r="B30" i="33"/>
  <c r="B33" i="33"/>
  <c r="B32" i="33"/>
  <c r="B17" i="33"/>
  <c r="B61" i="32"/>
  <c r="B59" i="32"/>
  <c r="B14" i="32"/>
  <c r="B12" i="32"/>
  <c r="B13" i="32" s="1"/>
  <c r="B18" i="33" l="1"/>
  <c r="B19" i="33" s="1"/>
  <c r="B20" i="33"/>
  <c r="B21" i="33" s="1"/>
  <c r="B22" i="33" s="1"/>
  <c r="B15" i="32"/>
  <c r="B16" i="32" s="1"/>
  <c r="B17" i="32"/>
  <c r="B23" i="33" l="1"/>
  <c r="B24" i="33" s="1"/>
  <c r="B25" i="33" s="1"/>
  <c r="B18" i="32"/>
  <c r="B19" i="32" s="1"/>
  <c r="B20" i="32"/>
  <c r="B21" i="32" l="1"/>
  <c r="B22" i="32" s="1"/>
  <c r="B23" i="32"/>
  <c r="B24" i="32" s="1"/>
  <c r="B25" i="32" s="1"/>
  <c r="B26" i="32" s="1"/>
  <c r="B27" i="32" s="1"/>
  <c r="B29" i="32" s="1"/>
  <c r="B30" i="32" l="1"/>
  <c r="B31" i="32" s="1"/>
  <c r="B32" i="32"/>
  <c r="B33" i="32" l="1"/>
  <c r="B34" i="32" s="1"/>
  <c r="B35" i="32"/>
  <c r="B38" i="32" l="1"/>
  <c r="B36" i="32"/>
  <c r="B37" i="32" s="1"/>
  <c r="B39" i="32" l="1"/>
  <c r="B40" i="32" s="1"/>
  <c r="B41" i="32"/>
  <c r="B42" i="32" l="1"/>
  <c r="B43" i="32" s="1"/>
  <c r="B44" i="32"/>
  <c r="B45" i="32" l="1"/>
  <c r="B46" i="32" s="1"/>
  <c r="B47" i="32"/>
  <c r="B48" i="32" s="1"/>
  <c r="B49" i="32" s="1"/>
  <c r="A65" i="30" l="1"/>
  <c r="A61" i="30"/>
  <c r="A62" i="30" s="1"/>
  <c r="A63" i="30" s="1"/>
  <c r="A57" i="30"/>
  <c r="A58" i="30" s="1"/>
  <c r="A59" i="30" s="1"/>
  <c r="A53" i="30"/>
  <c r="A54" i="30" s="1"/>
  <c r="A55" i="30" s="1"/>
  <c r="A46" i="30"/>
  <c r="A47" i="30" s="1"/>
  <c r="A48" i="30" s="1"/>
  <c r="A42" i="30"/>
  <c r="A43" i="30" s="1"/>
  <c r="A44" i="30" s="1"/>
  <c r="A39" i="30"/>
  <c r="A40" i="30" s="1"/>
  <c r="A38" i="30"/>
  <c r="A32" i="30"/>
  <c r="A33" i="30" s="1"/>
  <c r="A34" i="30" s="1"/>
  <c r="A29" i="30"/>
  <c r="A30" i="30" s="1"/>
  <c r="A28" i="30"/>
  <c r="A23" i="30"/>
  <c r="A24" i="30" s="1"/>
  <c r="A25" i="30" s="1"/>
  <c r="A19" i="30"/>
  <c r="A20" i="30" s="1"/>
  <c r="A21" i="30" s="1"/>
  <c r="A15" i="30"/>
  <c r="A16" i="30" s="1"/>
  <c r="A17" i="30" s="1"/>
  <c r="A11" i="30"/>
  <c r="A12" i="30" s="1"/>
  <c r="A13" i="30" s="1"/>
  <c r="A7" i="30"/>
  <c r="A8" i="30" s="1"/>
  <c r="A9" i="30" s="1"/>
  <c r="A4" i="30"/>
  <c r="A5" i="30" s="1"/>
  <c r="A3" i="30"/>
  <c r="A65" i="28"/>
  <c r="A62" i="28"/>
  <c r="A63" i="28" s="1"/>
  <c r="A61" i="28"/>
  <c r="A53" i="28"/>
  <c r="A54" i="28" s="1"/>
  <c r="A55" i="28" s="1"/>
  <c r="A46" i="28"/>
  <c r="A47" i="28" s="1"/>
  <c r="A48" i="28" s="1"/>
  <c r="A57" i="28"/>
  <c r="A58" i="28" s="1"/>
  <c r="A59" i="28" s="1"/>
  <c r="A42" i="28"/>
  <c r="A43" i="28" s="1"/>
  <c r="A44" i="28" s="1"/>
  <c r="A39" i="28"/>
  <c r="A40" i="28"/>
  <c r="A38" i="28"/>
  <c r="A33" i="28"/>
  <c r="A34" i="28" s="1"/>
  <c r="A32" i="28"/>
  <c r="A29" i="28"/>
  <c r="A30" i="28" s="1"/>
  <c r="A28" i="28"/>
  <c r="A23" i="28"/>
  <c r="A24" i="28" s="1"/>
  <c r="A25" i="28" s="1"/>
  <c r="A20" i="28"/>
  <c r="A21" i="28" s="1"/>
  <c r="A19" i="28"/>
  <c r="A48" i="29"/>
  <c r="A45" i="29"/>
  <c r="A46" i="29" s="1"/>
  <c r="A42" i="29"/>
  <c r="A43" i="29" s="1"/>
  <c r="A39" i="29"/>
  <c r="A40" i="29" s="1"/>
  <c r="A37" i="29"/>
  <c r="A36" i="29"/>
  <c r="A33" i="29"/>
  <c r="A34" i="29" s="1"/>
  <c r="A30" i="29"/>
  <c r="A31" i="29" s="1"/>
  <c r="A24" i="29"/>
  <c r="A25" i="29" s="1"/>
  <c r="A22" i="29"/>
  <c r="A21" i="29"/>
  <c r="A18" i="29"/>
  <c r="A19" i="29" s="1"/>
  <c r="A15" i="29"/>
  <c r="A16" i="29" s="1"/>
  <c r="A12" i="29"/>
  <c r="A13" i="29" s="1"/>
  <c r="A10" i="29"/>
  <c r="A9" i="29"/>
  <c r="A6" i="29"/>
  <c r="A7" i="29" s="1"/>
  <c r="A3" i="29"/>
  <c r="A4" i="29" s="1"/>
  <c r="A48" i="26"/>
  <c r="A15" i="28"/>
  <c r="A16" i="28" s="1"/>
  <c r="A17" i="28" s="1"/>
  <c r="A11" i="28"/>
  <c r="A12" i="28" s="1"/>
  <c r="A13" i="28" s="1"/>
  <c r="A8" i="28"/>
  <c r="A9" i="28"/>
  <c r="A7" i="28"/>
  <c r="A4" i="28"/>
  <c r="A5" i="28" s="1"/>
  <c r="A3" i="28"/>
  <c r="A45" i="26"/>
  <c r="A46" i="26" s="1"/>
  <c r="A42" i="26"/>
  <c r="A43" i="26" s="1"/>
  <c r="A39" i="26"/>
  <c r="A40" i="26" s="1"/>
  <c r="A36" i="26"/>
  <c r="A37" i="26" s="1"/>
  <c r="A33" i="26"/>
  <c r="A34" i="26" s="1"/>
  <c r="A30" i="26"/>
  <c r="A31" i="26" s="1"/>
  <c r="A24" i="26"/>
  <c r="A25" i="26" s="1"/>
  <c r="A21" i="26"/>
  <c r="A22" i="26" s="1"/>
  <c r="A18" i="26"/>
  <c r="A19" i="26" s="1"/>
  <c r="A15" i="26"/>
  <c r="A16" i="26" s="1"/>
  <c r="A12" i="26"/>
  <c r="A13" i="26" s="1"/>
  <c r="A9" i="26"/>
  <c r="A10" i="26" s="1"/>
  <c r="A7" i="26"/>
  <c r="A6" i="26"/>
  <c r="A4" i="26"/>
  <c r="A3" i="26"/>
  <c r="P39" i="6" a="1"/>
  <c r="P39" i="6" s="1"/>
  <c r="P40" i="6" s="1"/>
  <c r="O39" i="6" a="1"/>
  <c r="O39" i="6" s="1"/>
  <c r="O40" i="6" s="1"/>
  <c r="N39" i="6" a="1"/>
  <c r="N39" i="6" s="1"/>
  <c r="N40" i="6" s="1"/>
  <c r="M39" i="6" a="1"/>
  <c r="M39" i="6" s="1"/>
  <c r="M40" i="6" s="1"/>
  <c r="L39" i="6" a="1"/>
  <c r="L39" i="6" s="1"/>
  <c r="L40" i="6" s="1"/>
  <c r="K39" i="6" a="1"/>
  <c r="K39" i="6" s="1"/>
  <c r="K40" i="6" s="1"/>
  <c r="J39" i="6" a="1"/>
  <c r="J39" i="6" s="1"/>
  <c r="J40" i="6" s="1"/>
  <c r="H39" i="6" a="1"/>
  <c r="H39" i="6" s="1"/>
  <c r="H40" i="6" s="1"/>
  <c r="G39" i="6" a="1"/>
  <c r="G39" i="6" s="1"/>
  <c r="G40" i="6" s="1"/>
  <c r="F39" i="6" a="1"/>
  <c r="F39" i="6" s="1"/>
  <c r="F40" i="6" s="1"/>
  <c r="E39" i="6" a="1"/>
  <c r="E39" i="6" s="1"/>
  <c r="E40" i="6" s="1"/>
  <c r="D39" i="6" a="1"/>
  <c r="D39" i="6" s="1"/>
  <c r="D40" i="6" s="1"/>
  <c r="C39" i="6" a="1"/>
  <c r="C39" i="6" s="1"/>
  <c r="C40" i="6" s="1"/>
  <c r="B39" i="6" a="1"/>
  <c r="B39" i="6" s="1"/>
  <c r="B40" i="6" s="1"/>
  <c r="H83" i="30"/>
  <c r="F83" i="30"/>
  <c r="H82" i="30"/>
  <c r="F82" i="30"/>
  <c r="A82" i="30"/>
  <c r="H81" i="30"/>
  <c r="F81" i="30"/>
  <c r="H80" i="30"/>
  <c r="F80" i="30"/>
  <c r="H79" i="30"/>
  <c r="F79" i="30"/>
  <c r="H78" i="30"/>
  <c r="F78" i="30"/>
  <c r="A78" i="30" s="1"/>
  <c r="H77" i="30"/>
  <c r="F77" i="30"/>
  <c r="J67" i="30"/>
  <c r="E67" i="30"/>
  <c r="J66" i="30"/>
  <c r="E66" i="30"/>
  <c r="J65" i="30"/>
  <c r="I65" i="30"/>
  <c r="I64" i="30"/>
  <c r="J62" i="30"/>
  <c r="I62" i="30"/>
  <c r="I61" i="30"/>
  <c r="I60" i="30"/>
  <c r="E60" i="30"/>
  <c r="J58" i="30"/>
  <c r="I58" i="30"/>
  <c r="I57" i="30"/>
  <c r="I56" i="30"/>
  <c r="E56" i="30"/>
  <c r="J54" i="30"/>
  <c r="I54" i="30"/>
  <c r="I53" i="30"/>
  <c r="I52" i="30"/>
  <c r="E52" i="30"/>
  <c r="J47" i="30"/>
  <c r="I47" i="30"/>
  <c r="I46" i="30"/>
  <c r="I45" i="30"/>
  <c r="E45" i="30"/>
  <c r="J43" i="30"/>
  <c r="I43" i="30"/>
  <c r="I42" i="30"/>
  <c r="I41" i="30"/>
  <c r="E41" i="30"/>
  <c r="J39" i="30"/>
  <c r="I39" i="30"/>
  <c r="I38" i="30"/>
  <c r="I37" i="30"/>
  <c r="E37" i="30"/>
  <c r="J33" i="30"/>
  <c r="I33" i="30"/>
  <c r="I32" i="30"/>
  <c r="I31" i="30"/>
  <c r="E31" i="30"/>
  <c r="J29" i="30"/>
  <c r="I29" i="30"/>
  <c r="I28" i="30"/>
  <c r="I27" i="30"/>
  <c r="E27" i="30"/>
  <c r="J24" i="30"/>
  <c r="I24" i="30"/>
  <c r="I23" i="30"/>
  <c r="I22" i="30"/>
  <c r="E22" i="30"/>
  <c r="J20" i="30"/>
  <c r="I20" i="30"/>
  <c r="I19" i="30"/>
  <c r="I18" i="30"/>
  <c r="E18" i="30"/>
  <c r="J16" i="30"/>
  <c r="I16" i="30"/>
  <c r="I15" i="30"/>
  <c r="I14" i="30"/>
  <c r="E14" i="30"/>
  <c r="J12" i="30"/>
  <c r="I12" i="30"/>
  <c r="I11" i="30"/>
  <c r="I10" i="30"/>
  <c r="E10" i="30"/>
  <c r="J8" i="30"/>
  <c r="I8" i="30"/>
  <c r="I7" i="30"/>
  <c r="I6" i="30"/>
  <c r="E6" i="30"/>
  <c r="B6" i="30"/>
  <c r="B7" i="30" s="1"/>
  <c r="B8" i="30" s="1"/>
  <c r="J4" i="30"/>
  <c r="I4" i="30"/>
  <c r="I3" i="30"/>
  <c r="B3" i="30"/>
  <c r="B4" i="30" s="1"/>
  <c r="B5" i="30" s="1"/>
  <c r="I2" i="30"/>
  <c r="E2" i="30"/>
  <c r="J46" i="29"/>
  <c r="J43" i="29"/>
  <c r="J40" i="29"/>
  <c r="J37" i="29"/>
  <c r="J34" i="29"/>
  <c r="J31" i="29"/>
  <c r="J25" i="29"/>
  <c r="J22" i="29"/>
  <c r="J7" i="29"/>
  <c r="J4" i="29"/>
  <c r="I3" i="29"/>
  <c r="I16" i="29"/>
  <c r="I15" i="29"/>
  <c r="I14" i="29"/>
  <c r="E14" i="29"/>
  <c r="I46" i="29"/>
  <c r="I45" i="29"/>
  <c r="I44" i="29"/>
  <c r="I43" i="29"/>
  <c r="I42" i="29"/>
  <c r="I41" i="29"/>
  <c r="I40" i="29"/>
  <c r="I39" i="29"/>
  <c r="I38" i="29"/>
  <c r="I37" i="29"/>
  <c r="I36" i="29"/>
  <c r="I35" i="29"/>
  <c r="I34" i="29"/>
  <c r="I33" i="29"/>
  <c r="I32" i="29"/>
  <c r="I31" i="29"/>
  <c r="I30" i="29"/>
  <c r="I29" i="29"/>
  <c r="I25" i="29"/>
  <c r="I24" i="29"/>
  <c r="I23" i="29"/>
  <c r="I22" i="29"/>
  <c r="I21" i="29"/>
  <c r="I20" i="29"/>
  <c r="I19" i="29"/>
  <c r="I18" i="29"/>
  <c r="I17" i="29"/>
  <c r="I13" i="29"/>
  <c r="I12" i="29"/>
  <c r="I11" i="29"/>
  <c r="I10" i="29"/>
  <c r="I9" i="29"/>
  <c r="I8" i="29"/>
  <c r="I4" i="29"/>
  <c r="I5" i="29"/>
  <c r="I2" i="29"/>
  <c r="H61" i="29"/>
  <c r="F60" i="29"/>
  <c r="H60" i="29"/>
  <c r="F57" i="29"/>
  <c r="H59" i="29"/>
  <c r="F58" i="29"/>
  <c r="H58" i="29"/>
  <c r="F61" i="29"/>
  <c r="H57" i="29"/>
  <c r="F59" i="29"/>
  <c r="H56" i="29"/>
  <c r="F56" i="29"/>
  <c r="J50" i="29"/>
  <c r="E50" i="29"/>
  <c r="J49" i="29"/>
  <c r="E49" i="29"/>
  <c r="J48" i="29"/>
  <c r="I48" i="29"/>
  <c r="I47" i="29"/>
  <c r="E47" i="29"/>
  <c r="E44" i="29"/>
  <c r="E41" i="29"/>
  <c r="E38" i="29"/>
  <c r="E35" i="29"/>
  <c r="E32" i="29"/>
  <c r="E29" i="29"/>
  <c r="E23" i="29"/>
  <c r="E20" i="29"/>
  <c r="J19" i="29"/>
  <c r="E17" i="29"/>
  <c r="J16" i="29"/>
  <c r="J13" i="29"/>
  <c r="E11" i="29"/>
  <c r="J10" i="29"/>
  <c r="E8" i="29"/>
  <c r="I7" i="29"/>
  <c r="I6" i="29"/>
  <c r="E5" i="29"/>
  <c r="B5" i="29"/>
  <c r="B6" i="29" s="1"/>
  <c r="B7" i="29" s="1"/>
  <c r="B3" i="29"/>
  <c r="B4" i="29" s="1"/>
  <c r="E2" i="29"/>
  <c r="H83" i="28"/>
  <c r="F83" i="28"/>
  <c r="H82" i="28"/>
  <c r="F82" i="28"/>
  <c r="A82" i="28" s="1"/>
  <c r="H81" i="28"/>
  <c r="F81" i="28"/>
  <c r="H80" i="28"/>
  <c r="F80" i="28"/>
  <c r="H79" i="28"/>
  <c r="F79" i="28"/>
  <c r="H78" i="28"/>
  <c r="F78" i="28"/>
  <c r="A78" i="28" s="1"/>
  <c r="H77" i="28"/>
  <c r="F77" i="28"/>
  <c r="J67" i="28"/>
  <c r="E67" i="28"/>
  <c r="J66" i="28"/>
  <c r="E66" i="28"/>
  <c r="J65" i="28"/>
  <c r="I65" i="28"/>
  <c r="I64" i="28"/>
  <c r="E64" i="28"/>
  <c r="J62" i="28"/>
  <c r="I62" i="28"/>
  <c r="I61" i="28"/>
  <c r="I60" i="28"/>
  <c r="E60" i="28"/>
  <c r="J58" i="28"/>
  <c r="I58" i="28"/>
  <c r="I57" i="28"/>
  <c r="I56" i="28"/>
  <c r="E56" i="28"/>
  <c r="J54" i="28"/>
  <c r="I54" i="28"/>
  <c r="I53" i="28"/>
  <c r="I52" i="28"/>
  <c r="E52" i="28"/>
  <c r="J47" i="28"/>
  <c r="I47" i="28"/>
  <c r="I46" i="28"/>
  <c r="I45" i="28"/>
  <c r="E45" i="28"/>
  <c r="J43" i="28"/>
  <c r="I43" i="28"/>
  <c r="I42" i="28"/>
  <c r="I41" i="28"/>
  <c r="E41" i="28"/>
  <c r="J39" i="28"/>
  <c r="I39" i="28"/>
  <c r="I38" i="28"/>
  <c r="I37" i="28"/>
  <c r="E37" i="28"/>
  <c r="J33" i="28"/>
  <c r="I33" i="28"/>
  <c r="I32" i="28"/>
  <c r="I31" i="28"/>
  <c r="E31" i="28"/>
  <c r="J29" i="28"/>
  <c r="I29" i="28"/>
  <c r="I28" i="28"/>
  <c r="I27" i="28"/>
  <c r="E27" i="28"/>
  <c r="J24" i="28"/>
  <c r="I24" i="28"/>
  <c r="I23" i="28"/>
  <c r="I22" i="28"/>
  <c r="E22" i="28"/>
  <c r="J20" i="28"/>
  <c r="I20" i="28"/>
  <c r="I19" i="28"/>
  <c r="I18" i="28"/>
  <c r="E18" i="28"/>
  <c r="J16" i="28"/>
  <c r="I16" i="28"/>
  <c r="I15" i="28"/>
  <c r="I14" i="28"/>
  <c r="E14" i="28"/>
  <c r="J12" i="28"/>
  <c r="I12" i="28"/>
  <c r="I11" i="28"/>
  <c r="I10" i="28"/>
  <c r="E10" i="28"/>
  <c r="J8" i="28"/>
  <c r="I8" i="28"/>
  <c r="I7" i="28"/>
  <c r="I6" i="28"/>
  <c r="E6" i="28"/>
  <c r="B6" i="28"/>
  <c r="B9" i="28" s="1"/>
  <c r="J4" i="28"/>
  <c r="I4" i="28"/>
  <c r="I3" i="28"/>
  <c r="B3" i="28"/>
  <c r="B4" i="28" s="1"/>
  <c r="B5" i="28" s="1"/>
  <c r="I2" i="28"/>
  <c r="E2" i="28"/>
  <c r="E32" i="26"/>
  <c r="J46" i="26"/>
  <c r="J45" i="26"/>
  <c r="J44" i="26"/>
  <c r="J43" i="26"/>
  <c r="J42" i="26"/>
  <c r="J41" i="26"/>
  <c r="J40" i="26"/>
  <c r="J39" i="26"/>
  <c r="J38" i="26"/>
  <c r="J37" i="26"/>
  <c r="J36" i="26"/>
  <c r="J35" i="26"/>
  <c r="J34" i="26"/>
  <c r="J33" i="26"/>
  <c r="J32" i="26"/>
  <c r="J31" i="26"/>
  <c r="J30" i="26"/>
  <c r="J29" i="26"/>
  <c r="J25" i="26"/>
  <c r="J24" i="26"/>
  <c r="J23" i="26"/>
  <c r="J22" i="26"/>
  <c r="J21" i="26"/>
  <c r="J20" i="26"/>
  <c r="J19" i="26"/>
  <c r="J18" i="26"/>
  <c r="J17" i="26"/>
  <c r="J16" i="26"/>
  <c r="J15" i="26"/>
  <c r="J14" i="26"/>
  <c r="J13" i="26"/>
  <c r="J12" i="26"/>
  <c r="J11" i="26"/>
  <c r="J10" i="26"/>
  <c r="J9" i="26"/>
  <c r="J8" i="26"/>
  <c r="E46" i="26"/>
  <c r="E45" i="26"/>
  <c r="E44" i="26"/>
  <c r="E43" i="26"/>
  <c r="E42" i="26"/>
  <c r="E41" i="26"/>
  <c r="E40" i="26"/>
  <c r="E39" i="26"/>
  <c r="E38" i="26"/>
  <c r="E37" i="26"/>
  <c r="E36" i="26"/>
  <c r="E35" i="26"/>
  <c r="E34" i="26"/>
  <c r="E33" i="26"/>
  <c r="E31" i="26"/>
  <c r="E30" i="26"/>
  <c r="E29" i="26"/>
  <c r="E8" i="26"/>
  <c r="E9" i="26"/>
  <c r="E10" i="26"/>
  <c r="E11" i="26"/>
  <c r="E12" i="26"/>
  <c r="E13" i="26"/>
  <c r="E14" i="26"/>
  <c r="E15" i="26"/>
  <c r="E16" i="26"/>
  <c r="E17" i="26"/>
  <c r="E18" i="26"/>
  <c r="E19" i="26"/>
  <c r="E20" i="26"/>
  <c r="E21" i="26"/>
  <c r="E22" i="26"/>
  <c r="E23" i="26"/>
  <c r="E24" i="26"/>
  <c r="E25" i="26"/>
  <c r="J6" i="26"/>
  <c r="J5" i="26"/>
  <c r="E7" i="26"/>
  <c r="E6" i="26"/>
  <c r="E5" i="26"/>
  <c r="J4" i="26"/>
  <c r="J3" i="26"/>
  <c r="J2" i="26"/>
  <c r="E4" i="26"/>
  <c r="E3" i="26"/>
  <c r="E2" i="26"/>
  <c r="H62" i="26"/>
  <c r="F62" i="26"/>
  <c r="H61" i="26"/>
  <c r="F61" i="26"/>
  <c r="H60" i="26"/>
  <c r="F60" i="26"/>
  <c r="H59" i="26"/>
  <c r="F59" i="26"/>
  <c r="H58" i="26"/>
  <c r="F58" i="26"/>
  <c r="H57" i="26"/>
  <c r="F57" i="26"/>
  <c r="H56" i="26"/>
  <c r="F56" i="26"/>
  <c r="J50" i="26"/>
  <c r="E50" i="26"/>
  <c r="J48" i="26"/>
  <c r="I48" i="26"/>
  <c r="I47" i="26"/>
  <c r="E47" i="26"/>
  <c r="J7" i="26"/>
  <c r="B5" i="26"/>
  <c r="B8" i="26" s="1"/>
  <c r="B9" i="26" s="1"/>
  <c r="B10" i="26" s="1"/>
  <c r="B3" i="26"/>
  <c r="B4" i="26" s="1"/>
  <c r="H108" i="25"/>
  <c r="H161" i="25"/>
  <c r="H160" i="25"/>
  <c r="H159" i="25"/>
  <c r="H151" i="25"/>
  <c r="H150" i="25"/>
  <c r="H149" i="25"/>
  <c r="H141" i="25"/>
  <c r="H140" i="25"/>
  <c r="H139" i="25"/>
  <c r="H129" i="25"/>
  <c r="H128" i="25"/>
  <c r="H127" i="25"/>
  <c r="H119" i="25"/>
  <c r="H118" i="25"/>
  <c r="H117" i="25"/>
  <c r="H109" i="25"/>
  <c r="H107" i="25"/>
  <c r="H97" i="25"/>
  <c r="H96" i="25"/>
  <c r="H95" i="25"/>
  <c r="H84" i="25"/>
  <c r="H83" i="25"/>
  <c r="H82" i="25"/>
  <c r="H74" i="25"/>
  <c r="H73" i="25"/>
  <c r="H72" i="25"/>
  <c r="H62" i="25"/>
  <c r="H61" i="25"/>
  <c r="H60" i="25"/>
  <c r="H52" i="25"/>
  <c r="H51" i="25"/>
  <c r="H50" i="25"/>
  <c r="H42" i="25"/>
  <c r="H41" i="25"/>
  <c r="H40" i="25"/>
  <c r="H30" i="25"/>
  <c r="H29" i="25"/>
  <c r="H28" i="25"/>
  <c r="H20" i="25"/>
  <c r="H19" i="25"/>
  <c r="H18" i="25"/>
  <c r="H10" i="25"/>
  <c r="H9" i="25"/>
  <c r="H8" i="25"/>
  <c r="H158" i="25"/>
  <c r="H157" i="25"/>
  <c r="H156" i="25"/>
  <c r="H155" i="25"/>
  <c r="H154" i="25"/>
  <c r="H153" i="25"/>
  <c r="H148" i="25"/>
  <c r="H147" i="25"/>
  <c r="H146" i="25"/>
  <c r="H145" i="25"/>
  <c r="H144" i="25"/>
  <c r="H143" i="25"/>
  <c r="H138" i="25"/>
  <c r="H137" i="25"/>
  <c r="H136" i="25"/>
  <c r="H135" i="25"/>
  <c r="H134" i="25"/>
  <c r="H133" i="25"/>
  <c r="H126" i="25"/>
  <c r="H125" i="25"/>
  <c r="H124" i="25"/>
  <c r="H123" i="25"/>
  <c r="H122" i="25"/>
  <c r="H121" i="25"/>
  <c r="H116" i="25"/>
  <c r="H115" i="25"/>
  <c r="H114" i="25"/>
  <c r="H113" i="25"/>
  <c r="H112" i="25"/>
  <c r="H111" i="25"/>
  <c r="H106" i="25"/>
  <c r="H105" i="25"/>
  <c r="H104" i="25"/>
  <c r="H103" i="25"/>
  <c r="H102" i="25"/>
  <c r="H101" i="25"/>
  <c r="H94" i="25"/>
  <c r="H93" i="25"/>
  <c r="H92" i="25"/>
  <c r="H91" i="25"/>
  <c r="H90" i="25"/>
  <c r="H89" i="25"/>
  <c r="H81" i="25"/>
  <c r="H80" i="25"/>
  <c r="H79" i="25"/>
  <c r="H78" i="25"/>
  <c r="H77" i="25"/>
  <c r="H76" i="25"/>
  <c r="H71" i="25"/>
  <c r="H70" i="25"/>
  <c r="H69" i="25"/>
  <c r="H68" i="25"/>
  <c r="H67" i="25"/>
  <c r="H66" i="25"/>
  <c r="H59" i="25"/>
  <c r="H58" i="25"/>
  <c r="H57" i="25"/>
  <c r="H56" i="25"/>
  <c r="H55" i="25"/>
  <c r="H54" i="25"/>
  <c r="H49" i="25"/>
  <c r="H48" i="25"/>
  <c r="H47" i="25"/>
  <c r="H46" i="25"/>
  <c r="H45" i="25"/>
  <c r="H44" i="25"/>
  <c r="H39" i="25"/>
  <c r="H38" i="25"/>
  <c r="H37" i="25"/>
  <c r="H36" i="25"/>
  <c r="H35" i="25"/>
  <c r="H34" i="25"/>
  <c r="H27" i="25"/>
  <c r="H26" i="25"/>
  <c r="H25" i="25"/>
  <c r="H24" i="25"/>
  <c r="H23" i="25"/>
  <c r="H22" i="25"/>
  <c r="H17" i="25"/>
  <c r="H16" i="25"/>
  <c r="H15" i="25"/>
  <c r="H14" i="25"/>
  <c r="H13" i="25"/>
  <c r="H12" i="25"/>
  <c r="H7" i="25"/>
  <c r="H5" i="25"/>
  <c r="H6" i="25"/>
  <c r="H3" i="25"/>
  <c r="H4" i="25"/>
  <c r="H2" i="25"/>
  <c r="I161" i="25"/>
  <c r="I158" i="25"/>
  <c r="I155" i="25"/>
  <c r="I151" i="25"/>
  <c r="I148" i="25"/>
  <c r="I145" i="25"/>
  <c r="I141" i="25"/>
  <c r="I138" i="25"/>
  <c r="I135" i="25"/>
  <c r="I129" i="25"/>
  <c r="I126" i="25"/>
  <c r="I123" i="25"/>
  <c r="I119" i="25"/>
  <c r="I116" i="25"/>
  <c r="I113" i="25"/>
  <c r="I109" i="25"/>
  <c r="I106" i="25"/>
  <c r="I103" i="25"/>
  <c r="I97" i="25"/>
  <c r="I94" i="25"/>
  <c r="I91" i="25"/>
  <c r="I84" i="25"/>
  <c r="I81" i="25"/>
  <c r="I78" i="25"/>
  <c r="I74" i="25"/>
  <c r="I71" i="25"/>
  <c r="I68" i="25"/>
  <c r="I62" i="25"/>
  <c r="I59" i="25"/>
  <c r="I56" i="25"/>
  <c r="I52" i="25"/>
  <c r="I49" i="25"/>
  <c r="I46" i="25"/>
  <c r="I42" i="25"/>
  <c r="I39" i="25"/>
  <c r="I36" i="25"/>
  <c r="I30" i="25"/>
  <c r="I27" i="25"/>
  <c r="I24" i="25"/>
  <c r="I20" i="25"/>
  <c r="I17" i="25"/>
  <c r="I14" i="25"/>
  <c r="D159" i="25"/>
  <c r="D156" i="25"/>
  <c r="D153" i="25"/>
  <c r="D149" i="25"/>
  <c r="D146" i="25"/>
  <c r="D143" i="25"/>
  <c r="D139" i="25"/>
  <c r="D136" i="25"/>
  <c r="D133" i="25"/>
  <c r="D127" i="25"/>
  <c r="D124" i="25"/>
  <c r="D121" i="25"/>
  <c r="D117" i="25"/>
  <c r="D114" i="25"/>
  <c r="D111" i="25"/>
  <c r="D107" i="25"/>
  <c r="D104" i="25"/>
  <c r="D101" i="25"/>
  <c r="D95" i="25"/>
  <c r="D92" i="25"/>
  <c r="D89" i="25"/>
  <c r="D82" i="25"/>
  <c r="D79" i="25"/>
  <c r="D76" i="25"/>
  <c r="D72" i="25"/>
  <c r="D69" i="25"/>
  <c r="D66" i="25"/>
  <c r="D60" i="25"/>
  <c r="D57" i="25"/>
  <c r="D54" i="25"/>
  <c r="D50" i="25"/>
  <c r="D47" i="25"/>
  <c r="D44" i="25"/>
  <c r="D40" i="25"/>
  <c r="D37" i="25"/>
  <c r="D34" i="25"/>
  <c r="D28" i="25"/>
  <c r="D25" i="25"/>
  <c r="D22" i="25"/>
  <c r="D18" i="25"/>
  <c r="D15" i="25"/>
  <c r="D12" i="25"/>
  <c r="A102" i="25"/>
  <c r="I10" i="25"/>
  <c r="D8" i="25"/>
  <c r="D5" i="25"/>
  <c r="D2" i="25"/>
  <c r="E189" i="25"/>
  <c r="F189" i="25"/>
  <c r="G189" i="25"/>
  <c r="G201" i="25"/>
  <c r="E201" i="25"/>
  <c r="G200" i="25"/>
  <c r="E200" i="25"/>
  <c r="G199" i="25"/>
  <c r="E199" i="25"/>
  <c r="G198" i="25"/>
  <c r="E198" i="25"/>
  <c r="G197" i="25"/>
  <c r="E197" i="25"/>
  <c r="G196" i="25"/>
  <c r="E196" i="25"/>
  <c r="G195" i="25"/>
  <c r="E195" i="25"/>
  <c r="G194" i="25"/>
  <c r="E194" i="25"/>
  <c r="G193" i="25"/>
  <c r="E193" i="25"/>
  <c r="G192" i="25"/>
  <c r="E192" i="25"/>
  <c r="G188" i="25"/>
  <c r="F188" i="25"/>
  <c r="E188" i="25"/>
  <c r="G187" i="25"/>
  <c r="F187" i="25"/>
  <c r="E187" i="25"/>
  <c r="G186" i="25"/>
  <c r="F186" i="25"/>
  <c r="E186" i="25"/>
  <c r="G185" i="25"/>
  <c r="F185" i="25"/>
  <c r="E185" i="25"/>
  <c r="G184" i="25"/>
  <c r="F184" i="25"/>
  <c r="E184" i="25"/>
  <c r="G183" i="25"/>
  <c r="F183" i="25"/>
  <c r="E183" i="25"/>
  <c r="G182" i="25"/>
  <c r="F182" i="25"/>
  <c r="E182" i="25"/>
  <c r="G181" i="25"/>
  <c r="F181" i="25"/>
  <c r="E181" i="25"/>
  <c r="I177" i="25"/>
  <c r="D177" i="25"/>
  <c r="I176" i="25"/>
  <c r="D176" i="25"/>
  <c r="I173" i="25"/>
  <c r="D173" i="25"/>
  <c r="I172" i="25"/>
  <c r="D172" i="25"/>
  <c r="I169" i="25"/>
  <c r="H169" i="25"/>
  <c r="H168" i="25"/>
  <c r="D168" i="25"/>
  <c r="I167" i="25"/>
  <c r="H167" i="25"/>
  <c r="H166" i="25"/>
  <c r="D166" i="25"/>
  <c r="A112" i="25"/>
  <c r="A122" i="25" s="1"/>
  <c r="A134" i="25" s="1"/>
  <c r="A144" i="25" s="1"/>
  <c r="A154" i="25" s="1"/>
  <c r="A165" i="25" s="1"/>
  <c r="A171" i="25" s="1"/>
  <c r="A175" i="25" s="1"/>
  <c r="A13" i="25"/>
  <c r="A23" i="25" s="1"/>
  <c r="A35" i="25" s="1"/>
  <c r="A45" i="25" s="1"/>
  <c r="A55" i="25" s="1"/>
  <c r="A67" i="25" s="1"/>
  <c r="A77" i="25" s="1"/>
  <c r="A86" i="25" s="1"/>
  <c r="A87" i="25" s="1"/>
  <c r="A90" i="25" s="1"/>
  <c r="I7" i="25"/>
  <c r="I4" i="25"/>
  <c r="J45" i="24"/>
  <c r="I45" i="24"/>
  <c r="H45" i="24"/>
  <c r="F45" i="24"/>
  <c r="E45" i="24"/>
  <c r="B45" i="24"/>
  <c r="A45" i="24"/>
  <c r="J44" i="24"/>
  <c r="I44" i="24"/>
  <c r="H44" i="24"/>
  <c r="F44" i="24"/>
  <c r="E44" i="24"/>
  <c r="B44" i="24" s="1"/>
  <c r="A44" i="24"/>
  <c r="J43" i="24"/>
  <c r="I43" i="24"/>
  <c r="B43" i="24" s="1"/>
  <c r="H43" i="24"/>
  <c r="F43" i="24"/>
  <c r="E43" i="24"/>
  <c r="A43" i="24"/>
  <c r="J42" i="24"/>
  <c r="I42" i="24"/>
  <c r="H42" i="24"/>
  <c r="A42" i="24" s="1"/>
  <c r="F42" i="24"/>
  <c r="E42" i="24"/>
  <c r="B42" i="24" s="1"/>
  <c r="J41" i="24"/>
  <c r="I41" i="24"/>
  <c r="H41" i="24"/>
  <c r="F41" i="24"/>
  <c r="A41" i="24" s="1"/>
  <c r="E41" i="24"/>
  <c r="B41" i="24" s="1"/>
  <c r="J38" i="24"/>
  <c r="E38" i="24"/>
  <c r="J36" i="24"/>
  <c r="E36" i="24"/>
  <c r="E34" i="24"/>
  <c r="B6" i="24"/>
  <c r="B8" i="24" s="1"/>
  <c r="B5" i="24"/>
  <c r="B4" i="24"/>
  <c r="B3" i="24"/>
  <c r="K18" i="6" a="1"/>
  <c r="K18" i="6" s="1"/>
  <c r="K19" i="6" s="1"/>
  <c r="L18" i="6" a="1"/>
  <c r="L18" i="6" s="1"/>
  <c r="L19" i="6" s="1"/>
  <c r="M18" i="6" a="1"/>
  <c r="M18" i="6" s="1"/>
  <c r="M19" i="6" s="1"/>
  <c r="N18" i="6" a="1"/>
  <c r="N18" i="6" s="1"/>
  <c r="N19" i="6" s="1"/>
  <c r="O18" i="6" a="1"/>
  <c r="O18" i="6" s="1"/>
  <c r="O19" i="6" s="1"/>
  <c r="P18" i="6" a="1"/>
  <c r="P18" i="6" s="1"/>
  <c r="P19" i="6" s="1"/>
  <c r="J18" i="6" a="1"/>
  <c r="J18" i="6" s="1"/>
  <c r="J19" i="6" s="1"/>
  <c r="B18" i="6" a="1"/>
  <c r="B18" i="6" s="1"/>
  <c r="B19" i="6" s="1"/>
  <c r="C18" i="6" a="1"/>
  <c r="C18" i="6" s="1"/>
  <c r="C19" i="6" s="1"/>
  <c r="D18" i="6" a="1"/>
  <c r="D18" i="6" s="1"/>
  <c r="D19" i="6" s="1"/>
  <c r="E18" i="6" a="1"/>
  <c r="E18" i="6" s="1"/>
  <c r="E19" i="6" s="1"/>
  <c r="F18" i="6" a="1"/>
  <c r="F18" i="6" s="1"/>
  <c r="F19" i="6" s="1"/>
  <c r="G18" i="6" a="1"/>
  <c r="G18" i="6" s="1"/>
  <c r="G19" i="6" s="1"/>
  <c r="H18" i="6" a="1"/>
  <c r="H18" i="6" s="1"/>
  <c r="H19" i="6" s="1"/>
  <c r="N17" i="5"/>
  <c r="I113" i="22"/>
  <c r="Q44" i="5"/>
  <c r="Q43" i="5"/>
  <c r="P42" i="5"/>
  <c r="O42" i="5"/>
  <c r="N42" i="5"/>
  <c r="M42" i="5"/>
  <c r="L42" i="5"/>
  <c r="K42" i="5"/>
  <c r="J42" i="5"/>
  <c r="I42" i="5"/>
  <c r="H42" i="5"/>
  <c r="G42" i="5"/>
  <c r="F42" i="5"/>
  <c r="E42" i="5"/>
  <c r="D42" i="5"/>
  <c r="C42" i="5"/>
  <c r="Q41" i="5"/>
  <c r="Q40" i="5"/>
  <c r="P39" i="5"/>
  <c r="O39" i="5"/>
  <c r="N39" i="5"/>
  <c r="M39" i="5"/>
  <c r="L39" i="5"/>
  <c r="K39" i="5"/>
  <c r="I39" i="5"/>
  <c r="H39" i="5"/>
  <c r="G39" i="5"/>
  <c r="F39" i="5"/>
  <c r="E39" i="5"/>
  <c r="D39" i="5"/>
  <c r="C39" i="5"/>
  <c r="Q38" i="5"/>
  <c r="Q37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Q35" i="5"/>
  <c r="Q34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Q32" i="5"/>
  <c r="Q31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Q29" i="5"/>
  <c r="Q28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Q26" i="5"/>
  <c r="Q25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Q22" i="5"/>
  <c r="Q21" i="5"/>
  <c r="P20" i="5"/>
  <c r="O20" i="5"/>
  <c r="N20" i="5"/>
  <c r="M20" i="5"/>
  <c r="L20" i="5"/>
  <c r="K20" i="5"/>
  <c r="J20" i="5"/>
  <c r="I20" i="5"/>
  <c r="H20" i="5"/>
  <c r="G20" i="5"/>
  <c r="F20" i="5"/>
  <c r="E20" i="5"/>
  <c r="D20" i="5"/>
  <c r="C20" i="5"/>
  <c r="V17" i="5"/>
  <c r="Q19" i="5"/>
  <c r="V16" i="5"/>
  <c r="Q18" i="5"/>
  <c r="V15" i="5"/>
  <c r="P17" i="5"/>
  <c r="O17" i="5"/>
  <c r="M17" i="5"/>
  <c r="L17" i="5"/>
  <c r="K17" i="5"/>
  <c r="J17" i="5"/>
  <c r="I17" i="5"/>
  <c r="H17" i="5"/>
  <c r="G17" i="5"/>
  <c r="F17" i="5"/>
  <c r="E17" i="5"/>
  <c r="D17" i="5"/>
  <c r="C17" i="5"/>
  <c r="V14" i="5"/>
  <c r="Q16" i="5"/>
  <c r="V13" i="5"/>
  <c r="Q15" i="5"/>
  <c r="V12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C14" i="5"/>
  <c r="V11" i="5"/>
  <c r="Q13" i="5"/>
  <c r="V10" i="5"/>
  <c r="Q12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C11" i="5"/>
  <c r="Q10" i="5"/>
  <c r="V9" i="5"/>
  <c r="Q9" i="5"/>
  <c r="V8" i="5"/>
  <c r="P8" i="5"/>
  <c r="O8" i="5"/>
  <c r="N8" i="5"/>
  <c r="M8" i="5"/>
  <c r="L8" i="5"/>
  <c r="K8" i="5"/>
  <c r="J8" i="5"/>
  <c r="I8" i="5"/>
  <c r="H8" i="5"/>
  <c r="G8" i="5"/>
  <c r="F8" i="5"/>
  <c r="E8" i="5"/>
  <c r="D8" i="5"/>
  <c r="C8" i="5"/>
  <c r="V7" i="5"/>
  <c r="Q7" i="5"/>
  <c r="V6" i="5"/>
  <c r="Q6" i="5"/>
  <c r="V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V4" i="5"/>
  <c r="Q4" i="5"/>
  <c r="V3" i="5"/>
  <c r="Q3" i="5"/>
  <c r="V2" i="5"/>
  <c r="P2" i="5"/>
  <c r="O2" i="5"/>
  <c r="N2" i="5"/>
  <c r="M2" i="5"/>
  <c r="L2" i="5"/>
  <c r="K2" i="5"/>
  <c r="J2" i="5"/>
  <c r="I2" i="5"/>
  <c r="H2" i="5"/>
  <c r="G2" i="5"/>
  <c r="F2" i="5"/>
  <c r="E2" i="5"/>
  <c r="D2" i="5"/>
  <c r="C2" i="5"/>
  <c r="I40" i="6" l="1"/>
  <c r="A40" i="6"/>
  <c r="A83" i="30"/>
  <c r="A81" i="30"/>
  <c r="A79" i="30"/>
  <c r="I81" i="30"/>
  <c r="I77" i="30"/>
  <c r="J82" i="30"/>
  <c r="J83" i="30"/>
  <c r="E83" i="30"/>
  <c r="E79" i="30"/>
  <c r="A80" i="30"/>
  <c r="I82" i="30"/>
  <c r="A77" i="30"/>
  <c r="I79" i="30"/>
  <c r="I78" i="30"/>
  <c r="B9" i="30"/>
  <c r="B10" i="30"/>
  <c r="J77" i="30"/>
  <c r="E81" i="30"/>
  <c r="J81" i="30"/>
  <c r="J79" i="30"/>
  <c r="J78" i="30"/>
  <c r="E82" i="30"/>
  <c r="E80" i="30"/>
  <c r="I83" i="30"/>
  <c r="E78" i="30"/>
  <c r="B78" i="30" s="1"/>
  <c r="E77" i="30"/>
  <c r="I80" i="30"/>
  <c r="J80" i="30"/>
  <c r="A83" i="28"/>
  <c r="A77" i="28"/>
  <c r="A81" i="28"/>
  <c r="B7" i="28"/>
  <c r="B8" i="28" s="1"/>
  <c r="I81" i="28"/>
  <c r="A79" i="28"/>
  <c r="E80" i="28"/>
  <c r="I79" i="28"/>
  <c r="A80" i="28"/>
  <c r="J83" i="28"/>
  <c r="B10" i="28"/>
  <c r="J80" i="28"/>
  <c r="I82" i="28"/>
  <c r="E77" i="28"/>
  <c r="E79" i="28"/>
  <c r="A60" i="29"/>
  <c r="E59" i="29"/>
  <c r="E56" i="29"/>
  <c r="A56" i="29"/>
  <c r="J59" i="29"/>
  <c r="J60" i="29"/>
  <c r="J61" i="29"/>
  <c r="E60" i="29"/>
  <c r="A57" i="29"/>
  <c r="A61" i="29"/>
  <c r="A59" i="29"/>
  <c r="I57" i="29"/>
  <c r="I60" i="29"/>
  <c r="I59" i="29"/>
  <c r="A58" i="29"/>
  <c r="I58" i="29"/>
  <c r="J58" i="29"/>
  <c r="B8" i="29"/>
  <c r="I56" i="29"/>
  <c r="E58" i="29"/>
  <c r="E61" i="29"/>
  <c r="I61" i="29"/>
  <c r="J57" i="29"/>
  <c r="J56" i="29"/>
  <c r="E57" i="29"/>
  <c r="I80" i="28"/>
  <c r="I78" i="28"/>
  <c r="J79" i="28"/>
  <c r="E83" i="28"/>
  <c r="J82" i="28"/>
  <c r="J81" i="28"/>
  <c r="I77" i="28"/>
  <c r="J77" i="28"/>
  <c r="E81" i="28"/>
  <c r="E78" i="28"/>
  <c r="J78" i="28"/>
  <c r="E82" i="28"/>
  <c r="I83" i="28"/>
  <c r="A57" i="26"/>
  <c r="A61" i="26"/>
  <c r="A56" i="26"/>
  <c r="A60" i="26"/>
  <c r="A58" i="26"/>
  <c r="J56" i="26"/>
  <c r="E58" i="26"/>
  <c r="A62" i="26"/>
  <c r="E59" i="26"/>
  <c r="I62" i="26"/>
  <c r="A59" i="26"/>
  <c r="J62" i="26"/>
  <c r="B11" i="26"/>
  <c r="E57" i="26"/>
  <c r="I60" i="26"/>
  <c r="J61" i="26"/>
  <c r="I61" i="26"/>
  <c r="B6" i="26"/>
  <c r="B7" i="26" s="1"/>
  <c r="E56" i="26"/>
  <c r="I59" i="26"/>
  <c r="J60" i="26"/>
  <c r="I58" i="26"/>
  <c r="J59" i="26"/>
  <c r="I57" i="26"/>
  <c r="J58" i="26"/>
  <c r="E62" i="26"/>
  <c r="I56" i="26"/>
  <c r="J57" i="26"/>
  <c r="E61" i="26"/>
  <c r="E60" i="26"/>
  <c r="A187" i="25"/>
  <c r="A183" i="25"/>
  <c r="A182" i="25"/>
  <c r="A188" i="25"/>
  <c r="A181" i="25"/>
  <c r="A185" i="25"/>
  <c r="A192" i="25"/>
  <c r="A196" i="25"/>
  <c r="A197" i="25"/>
  <c r="A201" i="25"/>
  <c r="H189" i="25"/>
  <c r="A193" i="25"/>
  <c r="I189" i="25"/>
  <c r="A194" i="25"/>
  <c r="D189" i="25"/>
  <c r="A200" i="25"/>
  <c r="A186" i="25"/>
  <c r="A184" i="25"/>
  <c r="A195" i="25"/>
  <c r="A189" i="25"/>
  <c r="A199" i="25"/>
  <c r="H188" i="25"/>
  <c r="D196" i="25"/>
  <c r="I200" i="25"/>
  <c r="H200" i="25"/>
  <c r="I199" i="25"/>
  <c r="D197" i="25"/>
  <c r="I196" i="25"/>
  <c r="I201" i="25"/>
  <c r="A198" i="25"/>
  <c r="I192" i="25"/>
  <c r="H183" i="25"/>
  <c r="H185" i="25"/>
  <c r="H187" i="25"/>
  <c r="H199" i="25"/>
  <c r="I181" i="25"/>
  <c r="I184" i="25"/>
  <c r="I187" i="25"/>
  <c r="D193" i="25"/>
  <c r="H196" i="25"/>
  <c r="D201" i="25"/>
  <c r="D182" i="25"/>
  <c r="D185" i="25"/>
  <c r="D187" i="25"/>
  <c r="D188" i="25"/>
  <c r="D192" i="25"/>
  <c r="H194" i="25"/>
  <c r="I195" i="25"/>
  <c r="D199" i="25"/>
  <c r="H181" i="25"/>
  <c r="I182" i="25"/>
  <c r="I186" i="25"/>
  <c r="H198" i="25"/>
  <c r="D194" i="25"/>
  <c r="I198" i="25"/>
  <c r="D183" i="25"/>
  <c r="H195" i="25"/>
  <c r="H193" i="25"/>
  <c r="I194" i="25"/>
  <c r="D198" i="25"/>
  <c r="H201" i="25"/>
  <c r="H182" i="25"/>
  <c r="H184" i="25"/>
  <c r="H186" i="25"/>
  <c r="I183" i="25"/>
  <c r="I185" i="25"/>
  <c r="I188" i="25"/>
  <c r="D195" i="25"/>
  <c r="H197" i="25"/>
  <c r="I197" i="25"/>
  <c r="D181" i="25"/>
  <c r="D184" i="25"/>
  <c r="D186" i="25"/>
  <c r="D200" i="25"/>
  <c r="H192" i="25"/>
  <c r="I193" i="25"/>
  <c r="B9" i="24"/>
  <c r="B10" i="24"/>
  <c r="B7" i="24"/>
  <c r="I19" i="6"/>
  <c r="R15" i="5"/>
  <c r="U7" i="5" s="1"/>
  <c r="R34" i="5"/>
  <c r="U14" i="5" s="1"/>
  <c r="R18" i="5"/>
  <c r="U8" i="5" s="1"/>
  <c r="R39" i="5"/>
  <c r="T16" i="5" s="1"/>
  <c r="R5" i="5"/>
  <c r="T4" i="5" s="1"/>
  <c r="R27" i="5"/>
  <c r="T12" i="5" s="1"/>
  <c r="R3" i="5"/>
  <c r="U3" i="5" s="1"/>
  <c r="R2" i="5"/>
  <c r="T3" i="5" s="1"/>
  <c r="R9" i="5"/>
  <c r="U5" i="5" s="1"/>
  <c r="R8" i="5"/>
  <c r="T5" i="5" s="1"/>
  <c r="R21" i="5"/>
  <c r="U9" i="5" s="1"/>
  <c r="R20" i="5"/>
  <c r="T9" i="5" s="1"/>
  <c r="R14" i="5"/>
  <c r="T7" i="5" s="1"/>
  <c r="R37" i="5"/>
  <c r="U15" i="5" s="1"/>
  <c r="R42" i="5"/>
  <c r="T17" i="5" s="1"/>
  <c r="R43" i="5"/>
  <c r="U17" i="5" s="1"/>
  <c r="A19" i="6"/>
  <c r="R33" i="5"/>
  <c r="T14" i="5" s="1"/>
  <c r="R28" i="5"/>
  <c r="U12" i="5" s="1"/>
  <c r="R36" i="5"/>
  <c r="T15" i="5" s="1"/>
  <c r="R17" i="5"/>
  <c r="T8" i="5" s="1"/>
  <c r="R6" i="5"/>
  <c r="U4" i="5" s="1"/>
  <c r="R12" i="5"/>
  <c r="U6" i="5" s="1"/>
  <c r="R11" i="5"/>
  <c r="T6" i="5" s="1"/>
  <c r="R25" i="5"/>
  <c r="U11" i="5" s="1"/>
  <c r="R24" i="5"/>
  <c r="T11" i="5" s="1"/>
  <c r="R31" i="5"/>
  <c r="U13" i="5" s="1"/>
  <c r="R30" i="5"/>
  <c r="T13" i="5" s="1"/>
  <c r="R40" i="5"/>
  <c r="U16" i="5" s="1"/>
  <c r="B83" i="30" l="1"/>
  <c r="B77" i="30"/>
  <c r="B81" i="30"/>
  <c r="B80" i="30"/>
  <c r="B82" i="30"/>
  <c r="B79" i="30"/>
  <c r="B14" i="30"/>
  <c r="B11" i="30"/>
  <c r="B12" i="30" s="1"/>
  <c r="B13" i="30" s="1"/>
  <c r="B79" i="28"/>
  <c r="B80" i="28"/>
  <c r="B14" i="28"/>
  <c r="B11" i="28"/>
  <c r="B12" i="28" s="1"/>
  <c r="B13" i="28" s="1"/>
  <c r="B78" i="28"/>
  <c r="B77" i="28"/>
  <c r="B61" i="29"/>
  <c r="B56" i="29"/>
  <c r="B57" i="29"/>
  <c r="B59" i="29"/>
  <c r="B60" i="29"/>
  <c r="B11" i="29"/>
  <c r="B9" i="29"/>
  <c r="B10" i="29" s="1"/>
  <c r="B58" i="29"/>
  <c r="B81" i="28"/>
  <c r="B82" i="28"/>
  <c r="B83" i="28"/>
  <c r="B59" i="26"/>
  <c r="B62" i="26"/>
  <c r="B60" i="26"/>
  <c r="B58" i="26"/>
  <c r="B57" i="26"/>
  <c r="B61" i="26"/>
  <c r="B12" i="26"/>
  <c r="B13" i="26" s="1"/>
  <c r="B14" i="26"/>
  <c r="B56" i="26"/>
  <c r="B189" i="25"/>
  <c r="B200" i="25"/>
  <c r="B196" i="25"/>
  <c r="B185" i="25"/>
  <c r="B183" i="25"/>
  <c r="B188" i="25"/>
  <c r="B197" i="25"/>
  <c r="B195" i="25"/>
  <c r="B187" i="25"/>
  <c r="B186" i="25"/>
  <c r="B199" i="25"/>
  <c r="B201" i="25"/>
  <c r="B198" i="25"/>
  <c r="B184" i="25"/>
  <c r="B182" i="25"/>
  <c r="B181" i="25"/>
  <c r="B193" i="25"/>
  <c r="B194" i="25"/>
  <c r="B192" i="25"/>
  <c r="B12" i="24"/>
  <c r="B11" i="24"/>
  <c r="E178" i="3"/>
  <c r="A178" i="3" s="1"/>
  <c r="F178" i="3"/>
  <c r="G178" i="3"/>
  <c r="E179" i="3"/>
  <c r="F179" i="3"/>
  <c r="G179" i="3"/>
  <c r="E180" i="3"/>
  <c r="F180" i="3"/>
  <c r="G180" i="3"/>
  <c r="A180" i="3" s="1"/>
  <c r="E181" i="3"/>
  <c r="F181" i="3"/>
  <c r="G181" i="3"/>
  <c r="E182" i="3"/>
  <c r="A182" i="3" s="1"/>
  <c r="F182" i="3"/>
  <c r="G182" i="3"/>
  <c r="E183" i="3"/>
  <c r="F183" i="3"/>
  <c r="G183" i="3"/>
  <c r="E184" i="3"/>
  <c r="F184" i="3"/>
  <c r="G184" i="3"/>
  <c r="E185" i="3"/>
  <c r="F185" i="3"/>
  <c r="G185" i="3"/>
  <c r="A185" i="3" s="1"/>
  <c r="J12" i="15"/>
  <c r="J16" i="15"/>
  <c r="J20" i="15"/>
  <c r="J24" i="15"/>
  <c r="J28" i="15"/>
  <c r="J32" i="15"/>
  <c r="J36" i="15"/>
  <c r="J40" i="15"/>
  <c r="J44" i="15"/>
  <c r="J48" i="15"/>
  <c r="J52" i="15"/>
  <c r="J56" i="15"/>
  <c r="E10" i="15"/>
  <c r="E14" i="15"/>
  <c r="E18" i="15"/>
  <c r="E22" i="15"/>
  <c r="E26" i="15"/>
  <c r="E30" i="15"/>
  <c r="E34" i="15"/>
  <c r="E38" i="15"/>
  <c r="E42" i="15"/>
  <c r="E46" i="15"/>
  <c r="E50" i="15"/>
  <c r="E54" i="15"/>
  <c r="F65" i="15"/>
  <c r="H65" i="15"/>
  <c r="F66" i="15"/>
  <c r="H66" i="15"/>
  <c r="F67" i="15"/>
  <c r="H67" i="15"/>
  <c r="F68" i="15"/>
  <c r="H68" i="15"/>
  <c r="F69" i="15"/>
  <c r="H69" i="15"/>
  <c r="F70" i="15"/>
  <c r="H70" i="15"/>
  <c r="F71" i="15"/>
  <c r="H71" i="15"/>
  <c r="F50" i="13"/>
  <c r="H50" i="13"/>
  <c r="I50" i="13"/>
  <c r="J50" i="13"/>
  <c r="F51" i="13"/>
  <c r="H51" i="13"/>
  <c r="I51" i="13"/>
  <c r="J51" i="13"/>
  <c r="F52" i="13"/>
  <c r="H52" i="13"/>
  <c r="I52" i="13"/>
  <c r="J52" i="13"/>
  <c r="F53" i="13"/>
  <c r="H53" i="13"/>
  <c r="I53" i="13"/>
  <c r="J53" i="13"/>
  <c r="F54" i="13"/>
  <c r="H54" i="13"/>
  <c r="I54" i="13"/>
  <c r="J54" i="13"/>
  <c r="F55" i="13"/>
  <c r="H55" i="13"/>
  <c r="I55" i="13"/>
  <c r="J55" i="13"/>
  <c r="E51" i="13"/>
  <c r="E52" i="13"/>
  <c r="E53" i="13"/>
  <c r="E54" i="13"/>
  <c r="E55" i="13"/>
  <c r="E50" i="13"/>
  <c r="J43" i="13"/>
  <c r="I43" i="13"/>
  <c r="I42" i="13"/>
  <c r="I41" i="13"/>
  <c r="E41" i="13"/>
  <c r="B42" i="13"/>
  <c r="B43" i="13" s="1"/>
  <c r="B41" i="13"/>
  <c r="I28" i="22"/>
  <c r="F119" i="22"/>
  <c r="H119" i="22"/>
  <c r="F120" i="22"/>
  <c r="H120" i="22"/>
  <c r="F121" i="22"/>
  <c r="H121" i="22"/>
  <c r="F122" i="22"/>
  <c r="H122" i="22"/>
  <c r="F123" i="22"/>
  <c r="H123" i="22"/>
  <c r="F124" i="22"/>
  <c r="H124" i="22"/>
  <c r="F125" i="22"/>
  <c r="H125" i="22"/>
  <c r="F128" i="22"/>
  <c r="H128" i="22"/>
  <c r="F129" i="22"/>
  <c r="H129" i="22"/>
  <c r="F130" i="22"/>
  <c r="H130" i="22"/>
  <c r="F131" i="22"/>
  <c r="H131" i="22"/>
  <c r="F132" i="22"/>
  <c r="H132" i="22"/>
  <c r="F133" i="22"/>
  <c r="H133" i="22"/>
  <c r="F134" i="22"/>
  <c r="H134" i="22"/>
  <c r="F135" i="22"/>
  <c r="H135" i="22"/>
  <c r="F118" i="22"/>
  <c r="H118" i="22"/>
  <c r="J113" i="22"/>
  <c r="J112" i="22"/>
  <c r="I112" i="22"/>
  <c r="J111" i="22"/>
  <c r="I111" i="22"/>
  <c r="I110" i="22"/>
  <c r="I109" i="22"/>
  <c r="I108" i="22"/>
  <c r="E108" i="22"/>
  <c r="I107" i="22"/>
  <c r="E107" i="22"/>
  <c r="I106" i="22"/>
  <c r="E106" i="22"/>
  <c r="J105" i="22"/>
  <c r="I105" i="22"/>
  <c r="J104" i="22"/>
  <c r="I104" i="22"/>
  <c r="J103" i="22"/>
  <c r="I103" i="22"/>
  <c r="I102" i="22"/>
  <c r="I101" i="22"/>
  <c r="I100" i="22"/>
  <c r="E100" i="22"/>
  <c r="I99" i="22"/>
  <c r="E99" i="22"/>
  <c r="I98" i="22"/>
  <c r="E98" i="22"/>
  <c r="J97" i="22"/>
  <c r="I97" i="22"/>
  <c r="J96" i="22"/>
  <c r="I96" i="22"/>
  <c r="J95" i="22"/>
  <c r="I95" i="22"/>
  <c r="I94" i="22"/>
  <c r="I93" i="22"/>
  <c r="I92" i="22"/>
  <c r="E92" i="22"/>
  <c r="I91" i="22"/>
  <c r="E91" i="22"/>
  <c r="I90" i="22"/>
  <c r="E90" i="22"/>
  <c r="J89" i="22"/>
  <c r="I89" i="22"/>
  <c r="J88" i="22"/>
  <c r="I88" i="22"/>
  <c r="J87" i="22"/>
  <c r="I87" i="22"/>
  <c r="I86" i="22"/>
  <c r="I85" i="22"/>
  <c r="I84" i="22"/>
  <c r="E84" i="22"/>
  <c r="I83" i="22"/>
  <c r="E83" i="22"/>
  <c r="I82" i="22"/>
  <c r="E82" i="22"/>
  <c r="J81" i="22"/>
  <c r="I81" i="22"/>
  <c r="J80" i="22"/>
  <c r="I80" i="22"/>
  <c r="J79" i="22"/>
  <c r="I79" i="22"/>
  <c r="I78" i="22"/>
  <c r="I77" i="22"/>
  <c r="I76" i="22"/>
  <c r="E76" i="22"/>
  <c r="I75" i="22"/>
  <c r="E75" i="22"/>
  <c r="I74" i="22"/>
  <c r="E74" i="22"/>
  <c r="J73" i="22"/>
  <c r="I73" i="22"/>
  <c r="J72" i="22"/>
  <c r="I72" i="22"/>
  <c r="J71" i="22"/>
  <c r="I71" i="22"/>
  <c r="I70" i="22"/>
  <c r="I69" i="22"/>
  <c r="I68" i="22"/>
  <c r="E68" i="22"/>
  <c r="I67" i="22"/>
  <c r="E67" i="22"/>
  <c r="I66" i="22"/>
  <c r="E66" i="22"/>
  <c r="J65" i="22"/>
  <c r="I65" i="22"/>
  <c r="J64" i="22"/>
  <c r="I64" i="22"/>
  <c r="J63" i="22"/>
  <c r="I63" i="22"/>
  <c r="I62" i="22"/>
  <c r="I61" i="22"/>
  <c r="I60" i="22"/>
  <c r="E60" i="22"/>
  <c r="I59" i="22"/>
  <c r="E59" i="22"/>
  <c r="I58" i="22"/>
  <c r="E58" i="22"/>
  <c r="J57" i="22"/>
  <c r="I57" i="22"/>
  <c r="J56" i="22"/>
  <c r="I56" i="22"/>
  <c r="J55" i="22"/>
  <c r="I55" i="22"/>
  <c r="I54" i="22"/>
  <c r="I53" i="22"/>
  <c r="I52" i="22"/>
  <c r="E52" i="22"/>
  <c r="I51" i="22"/>
  <c r="E51" i="22"/>
  <c r="I50" i="22"/>
  <c r="E50" i="22"/>
  <c r="J49" i="22"/>
  <c r="I49" i="22"/>
  <c r="J48" i="22"/>
  <c r="I48" i="22"/>
  <c r="J47" i="22"/>
  <c r="I47" i="22"/>
  <c r="I46" i="22"/>
  <c r="I45" i="22"/>
  <c r="I44" i="22"/>
  <c r="E44" i="22"/>
  <c r="I43" i="22"/>
  <c r="E43" i="22"/>
  <c r="I42" i="22"/>
  <c r="E42" i="22"/>
  <c r="J41" i="22"/>
  <c r="I41" i="22"/>
  <c r="J40" i="22"/>
  <c r="I40" i="22"/>
  <c r="J39" i="22"/>
  <c r="I39" i="22"/>
  <c r="I38" i="22"/>
  <c r="I37" i="22"/>
  <c r="I36" i="22"/>
  <c r="E36" i="22"/>
  <c r="I35" i="22"/>
  <c r="E35" i="22"/>
  <c r="I34" i="22"/>
  <c r="E34" i="22"/>
  <c r="J33" i="22"/>
  <c r="I33" i="22"/>
  <c r="J32" i="22"/>
  <c r="I32" i="22"/>
  <c r="J31" i="22"/>
  <c r="I31" i="22"/>
  <c r="I30" i="22"/>
  <c r="I29" i="22"/>
  <c r="E28" i="22"/>
  <c r="I27" i="22"/>
  <c r="E27" i="22"/>
  <c r="I26" i="22"/>
  <c r="E26" i="22"/>
  <c r="J25" i="22"/>
  <c r="I25" i="22"/>
  <c r="J24" i="22"/>
  <c r="I24" i="22"/>
  <c r="J23" i="22"/>
  <c r="I23" i="22"/>
  <c r="I22" i="22"/>
  <c r="I21" i="22"/>
  <c r="I20" i="22"/>
  <c r="E20" i="22"/>
  <c r="I19" i="22"/>
  <c r="E19" i="22"/>
  <c r="I18" i="22"/>
  <c r="E18" i="22"/>
  <c r="J17" i="22"/>
  <c r="I17" i="22"/>
  <c r="J16" i="22"/>
  <c r="I16" i="22"/>
  <c r="J15" i="22"/>
  <c r="I15" i="22"/>
  <c r="I14" i="22"/>
  <c r="I13" i="22"/>
  <c r="I12" i="22"/>
  <c r="E12" i="22"/>
  <c r="I11" i="22"/>
  <c r="E11" i="22"/>
  <c r="I10" i="22"/>
  <c r="E10" i="22"/>
  <c r="J9" i="22"/>
  <c r="I9" i="22"/>
  <c r="J8" i="22"/>
  <c r="I8" i="22"/>
  <c r="J7" i="22"/>
  <c r="I7" i="22"/>
  <c r="I6" i="22"/>
  <c r="I5" i="22"/>
  <c r="I4" i="22"/>
  <c r="E4" i="22"/>
  <c r="I3" i="22"/>
  <c r="E3" i="22"/>
  <c r="I2" i="22"/>
  <c r="E2" i="22"/>
  <c r="B18" i="30" l="1"/>
  <c r="B15" i="30"/>
  <c r="B16" i="30" s="1"/>
  <c r="B17" i="30"/>
  <c r="B18" i="28"/>
  <c r="B17" i="28"/>
  <c r="B15" i="28"/>
  <c r="B16" i="28" s="1"/>
  <c r="B12" i="29"/>
  <c r="B13" i="29" s="1"/>
  <c r="B14" i="29"/>
  <c r="B15" i="26"/>
  <c r="B16" i="26" s="1"/>
  <c r="B17" i="26"/>
  <c r="B13" i="24"/>
  <c r="B14" i="24"/>
  <c r="A119" i="22"/>
  <c r="A184" i="3"/>
  <c r="A179" i="3"/>
  <c r="A181" i="3"/>
  <c r="A183" i="3"/>
  <c r="A68" i="15"/>
  <c r="A67" i="15"/>
  <c r="A65" i="15"/>
  <c r="A70" i="15"/>
  <c r="A69" i="15"/>
  <c r="A71" i="15"/>
  <c r="A66" i="15"/>
  <c r="A53" i="13"/>
  <c r="A55" i="13"/>
  <c r="A54" i="13"/>
  <c r="A52" i="13"/>
  <c r="A122" i="22"/>
  <c r="J121" i="22"/>
  <c r="A124" i="22"/>
  <c r="E119" i="22"/>
  <c r="E129" i="22"/>
  <c r="J134" i="22"/>
  <c r="A121" i="22"/>
  <c r="E132" i="22"/>
  <c r="A123" i="22"/>
  <c r="I124" i="22"/>
  <c r="E123" i="22"/>
  <c r="I130" i="22"/>
  <c r="A120" i="22"/>
  <c r="J125" i="22"/>
  <c r="E120" i="22"/>
  <c r="J135" i="22"/>
  <c r="J131" i="22"/>
  <c r="I128" i="22"/>
  <c r="J123" i="22"/>
  <c r="E121" i="22"/>
  <c r="J128" i="22"/>
  <c r="E134" i="22"/>
  <c r="I123" i="22"/>
  <c r="J120" i="22"/>
  <c r="I134" i="22"/>
  <c r="I131" i="22"/>
  <c r="J133" i="22"/>
  <c r="E131" i="22"/>
  <c r="I120" i="22"/>
  <c r="I121" i="22"/>
  <c r="E124" i="22"/>
  <c r="A118" i="22"/>
  <c r="I133" i="22"/>
  <c r="J130" i="22"/>
  <c r="E128" i="22"/>
  <c r="E133" i="22"/>
  <c r="J119" i="22"/>
  <c r="I135" i="22"/>
  <c r="J132" i="22"/>
  <c r="E130" i="22"/>
  <c r="A125" i="22"/>
  <c r="I119" i="22"/>
  <c r="J122" i="22"/>
  <c r="I122" i="22"/>
  <c r="I132" i="22"/>
  <c r="J129" i="22"/>
  <c r="E125" i="22"/>
  <c r="I125" i="22"/>
  <c r="I129" i="22"/>
  <c r="J124" i="22"/>
  <c r="E122" i="22"/>
  <c r="E135" i="22"/>
  <c r="J118" i="22"/>
  <c r="I118" i="22"/>
  <c r="E118" i="22"/>
  <c r="A131" i="22"/>
  <c r="A132" i="22"/>
  <c r="A133" i="22"/>
  <c r="A135" i="22"/>
  <c r="A128" i="22"/>
  <c r="A129" i="22"/>
  <c r="A134" i="22"/>
  <c r="A130" i="22"/>
  <c r="B19" i="30" l="1"/>
  <c r="B20" i="30" s="1"/>
  <c r="B21" i="30" s="1"/>
  <c r="B22" i="30"/>
  <c r="B19" i="28"/>
  <c r="B20" i="28" s="1"/>
  <c r="B21" i="28" s="1"/>
  <c r="B22" i="28"/>
  <c r="B17" i="29"/>
  <c r="B15" i="29"/>
  <c r="B16" i="29" s="1"/>
  <c r="B18" i="26"/>
  <c r="B19" i="26" s="1"/>
  <c r="B20" i="26"/>
  <c r="B15" i="24"/>
  <c r="B16" i="24"/>
  <c r="B131" i="22"/>
  <c r="A50" i="13"/>
  <c r="A51" i="13"/>
  <c r="B124" i="22"/>
  <c r="B132" i="22"/>
  <c r="B125" i="22"/>
  <c r="B133" i="22"/>
  <c r="B129" i="22"/>
  <c r="B120" i="22"/>
  <c r="B123" i="22"/>
  <c r="B122" i="22"/>
  <c r="B135" i="22"/>
  <c r="B134" i="22"/>
  <c r="B118" i="22"/>
  <c r="B119" i="22"/>
  <c r="B130" i="22"/>
  <c r="B121" i="22"/>
  <c r="B128" i="22"/>
  <c r="B23" i="30" l="1"/>
  <c r="B24" i="30" s="1"/>
  <c r="B27" i="30"/>
  <c r="B25" i="30"/>
  <c r="B27" i="28"/>
  <c r="B25" i="28"/>
  <c r="B23" i="28"/>
  <c r="B24" i="28" s="1"/>
  <c r="B18" i="29"/>
  <c r="B19" i="29" s="1"/>
  <c r="B20" i="29"/>
  <c r="B21" i="26"/>
  <c r="B22" i="26" s="1"/>
  <c r="B23" i="26"/>
  <c r="B17" i="24"/>
  <c r="B18" i="24"/>
  <c r="B19" i="24" s="1"/>
  <c r="B20" i="24" s="1"/>
  <c r="H10" i="3"/>
  <c r="I10" i="3"/>
  <c r="H20" i="3"/>
  <c r="I20" i="3"/>
  <c r="H30" i="3"/>
  <c r="I30" i="3"/>
  <c r="H42" i="3"/>
  <c r="I42" i="3"/>
  <c r="H52" i="3"/>
  <c r="I52" i="3"/>
  <c r="H62" i="3"/>
  <c r="I62" i="3"/>
  <c r="H74" i="3"/>
  <c r="I74" i="3"/>
  <c r="H84" i="3"/>
  <c r="I84" i="3"/>
  <c r="H94" i="3"/>
  <c r="I94" i="3"/>
  <c r="H106" i="3"/>
  <c r="I106" i="3"/>
  <c r="H116" i="3"/>
  <c r="I116" i="3"/>
  <c r="H126" i="3"/>
  <c r="I126" i="3"/>
  <c r="H138" i="3"/>
  <c r="I138" i="3"/>
  <c r="H148" i="3"/>
  <c r="I148" i="3"/>
  <c r="H158" i="3"/>
  <c r="I158" i="3"/>
  <c r="J47" i="13"/>
  <c r="E47" i="13"/>
  <c r="J46" i="13"/>
  <c r="E46" i="13"/>
  <c r="J45" i="13"/>
  <c r="I45" i="13"/>
  <c r="I44" i="13"/>
  <c r="E44" i="13"/>
  <c r="E23" i="13"/>
  <c r="I23" i="13"/>
  <c r="I24" i="13"/>
  <c r="I25" i="13"/>
  <c r="J25" i="13"/>
  <c r="E26" i="13"/>
  <c r="I26" i="13"/>
  <c r="I27" i="13"/>
  <c r="I28" i="13"/>
  <c r="J28" i="13"/>
  <c r="B5" i="13"/>
  <c r="B6" i="13" s="1"/>
  <c r="B7" i="13" s="1"/>
  <c r="B3" i="13"/>
  <c r="B4" i="13" s="1"/>
  <c r="J61" i="15"/>
  <c r="E61" i="15"/>
  <c r="J60" i="15"/>
  <c r="E60" i="15"/>
  <c r="J59" i="15"/>
  <c r="I59" i="15"/>
  <c r="I58" i="15"/>
  <c r="E58" i="15"/>
  <c r="I56" i="15"/>
  <c r="I55" i="15"/>
  <c r="I54" i="15"/>
  <c r="I52" i="15"/>
  <c r="I51" i="15"/>
  <c r="I50" i="15"/>
  <c r="I48" i="15"/>
  <c r="I47" i="15"/>
  <c r="I46" i="15"/>
  <c r="I44" i="15"/>
  <c r="I43" i="15"/>
  <c r="I42" i="15"/>
  <c r="I40" i="15"/>
  <c r="I39" i="15"/>
  <c r="I38" i="15"/>
  <c r="I36" i="15"/>
  <c r="I35" i="15"/>
  <c r="I34" i="15"/>
  <c r="I32" i="15"/>
  <c r="I31" i="15"/>
  <c r="I30" i="15"/>
  <c r="I28" i="15"/>
  <c r="I27" i="15"/>
  <c r="I26" i="15"/>
  <c r="I24" i="15"/>
  <c r="I23" i="15"/>
  <c r="I22" i="15"/>
  <c r="I20" i="15"/>
  <c r="I19" i="15"/>
  <c r="I18" i="15"/>
  <c r="I16" i="15"/>
  <c r="I15" i="15"/>
  <c r="I14" i="15"/>
  <c r="I12" i="15"/>
  <c r="I11" i="15"/>
  <c r="I10" i="15"/>
  <c r="J8" i="15"/>
  <c r="I8" i="15"/>
  <c r="I7" i="15"/>
  <c r="I6" i="15"/>
  <c r="E6" i="15"/>
  <c r="B6" i="15"/>
  <c r="B7" i="15" s="1"/>
  <c r="B8" i="15" s="1"/>
  <c r="J4" i="15"/>
  <c r="I4" i="15"/>
  <c r="I3" i="15"/>
  <c r="B3" i="15"/>
  <c r="B4" i="15" s="1"/>
  <c r="B5" i="15" s="1"/>
  <c r="I2" i="15"/>
  <c r="E2" i="15"/>
  <c r="B31" i="30" l="1"/>
  <c r="B32" i="30" s="1"/>
  <c r="B33" i="30" s="1"/>
  <c r="B34" i="30" s="1"/>
  <c r="B35" i="30" s="1"/>
  <c r="B36" i="30" s="1"/>
  <c r="B37" i="30" s="1"/>
  <c r="B28" i="30"/>
  <c r="B29" i="30" s="1"/>
  <c r="B30" i="30" s="1"/>
  <c r="B28" i="28"/>
  <c r="B29" i="28" s="1"/>
  <c r="B30" i="28" s="1"/>
  <c r="B31" i="28"/>
  <c r="B21" i="29"/>
  <c r="B22" i="29" s="1"/>
  <c r="B23" i="29"/>
  <c r="B24" i="29" s="1"/>
  <c r="B25" i="29" s="1"/>
  <c r="B26" i="29" s="1"/>
  <c r="B27" i="29" s="1"/>
  <c r="B29" i="29" s="1"/>
  <c r="B24" i="26"/>
  <c r="B25" i="26" s="1"/>
  <c r="B26" i="26" s="1"/>
  <c r="B27" i="26" s="1"/>
  <c r="B29" i="26" s="1"/>
  <c r="B22" i="24"/>
  <c r="B21" i="24"/>
  <c r="E67" i="15"/>
  <c r="E71" i="15"/>
  <c r="E68" i="15"/>
  <c r="E66" i="15"/>
  <c r="E65" i="15"/>
  <c r="E69" i="15"/>
  <c r="E70" i="15"/>
  <c r="I66" i="15"/>
  <c r="I71" i="15"/>
  <c r="I67" i="15"/>
  <c r="I69" i="15"/>
  <c r="I68" i="15"/>
  <c r="I65" i="15"/>
  <c r="I70" i="15"/>
  <c r="J70" i="15"/>
  <c r="J71" i="15"/>
  <c r="J68" i="15"/>
  <c r="J67" i="15"/>
  <c r="J65" i="15"/>
  <c r="J69" i="15"/>
  <c r="J66" i="15"/>
  <c r="B8" i="13"/>
  <c r="B10" i="15"/>
  <c r="B9" i="15"/>
  <c r="H9" i="3"/>
  <c r="G189" i="3"/>
  <c r="G190" i="3"/>
  <c r="G191" i="3"/>
  <c r="G192" i="3"/>
  <c r="G193" i="3"/>
  <c r="G194" i="3"/>
  <c r="G195" i="3"/>
  <c r="G196" i="3"/>
  <c r="G197" i="3"/>
  <c r="G188" i="3"/>
  <c r="E197" i="3"/>
  <c r="A197" i="3" s="1"/>
  <c r="E196" i="3"/>
  <c r="A196" i="3" s="1"/>
  <c r="E195" i="3"/>
  <c r="A195" i="3" s="1"/>
  <c r="E194" i="3"/>
  <c r="A194" i="3" s="1"/>
  <c r="E193" i="3"/>
  <c r="E192" i="3"/>
  <c r="E191" i="3"/>
  <c r="E190" i="3"/>
  <c r="A190" i="3" s="1"/>
  <c r="E189" i="3"/>
  <c r="A189" i="3" s="1"/>
  <c r="E188" i="3"/>
  <c r="A188" i="3" s="1"/>
  <c r="H45" i="3"/>
  <c r="H136" i="3"/>
  <c r="H146" i="3"/>
  <c r="H105" i="3"/>
  <c r="H40" i="3"/>
  <c r="D156" i="3"/>
  <c r="D153" i="3"/>
  <c r="D150" i="3"/>
  <c r="D146" i="3"/>
  <c r="D143" i="3"/>
  <c r="D140" i="3"/>
  <c r="D136" i="3"/>
  <c r="D133" i="3"/>
  <c r="D130" i="3"/>
  <c r="D124" i="3"/>
  <c r="D121" i="3"/>
  <c r="D118" i="3"/>
  <c r="D114" i="3"/>
  <c r="D111" i="3"/>
  <c r="D108" i="3"/>
  <c r="D104" i="3"/>
  <c r="D101" i="3"/>
  <c r="D98" i="3"/>
  <c r="D92" i="3"/>
  <c r="D89" i="3"/>
  <c r="D86" i="3"/>
  <c r="D82" i="3"/>
  <c r="D79" i="3"/>
  <c r="D76" i="3"/>
  <c r="D72" i="3"/>
  <c r="D69" i="3"/>
  <c r="D66" i="3"/>
  <c r="D60" i="3"/>
  <c r="D57" i="3"/>
  <c r="D54" i="3"/>
  <c r="D50" i="3"/>
  <c r="D47" i="3"/>
  <c r="D44" i="3"/>
  <c r="D40" i="3"/>
  <c r="D37" i="3"/>
  <c r="D34" i="3"/>
  <c r="D28" i="3"/>
  <c r="D25" i="3"/>
  <c r="D22" i="3"/>
  <c r="D18" i="3"/>
  <c r="D15" i="3"/>
  <c r="D12" i="3"/>
  <c r="D2" i="3"/>
  <c r="H157" i="3"/>
  <c r="H156" i="3"/>
  <c r="I155" i="3"/>
  <c r="H155" i="3"/>
  <c r="H154" i="3"/>
  <c r="H153" i="3"/>
  <c r="I152" i="3"/>
  <c r="H152" i="3"/>
  <c r="H151" i="3"/>
  <c r="H150" i="3"/>
  <c r="H147" i="3"/>
  <c r="I145" i="3"/>
  <c r="H145" i="3"/>
  <c r="H144" i="3"/>
  <c r="H143" i="3"/>
  <c r="I142" i="3"/>
  <c r="H142" i="3"/>
  <c r="H141" i="3"/>
  <c r="H140" i="3"/>
  <c r="H137" i="3"/>
  <c r="I135" i="3"/>
  <c r="H135" i="3"/>
  <c r="H134" i="3"/>
  <c r="H133" i="3"/>
  <c r="I132" i="3"/>
  <c r="H132" i="3"/>
  <c r="H131" i="3"/>
  <c r="H130" i="3"/>
  <c r="H125" i="3"/>
  <c r="H124" i="3"/>
  <c r="I123" i="3"/>
  <c r="H123" i="3"/>
  <c r="H122" i="3"/>
  <c r="H121" i="3"/>
  <c r="I120" i="3"/>
  <c r="H120" i="3"/>
  <c r="H119" i="3"/>
  <c r="H118" i="3"/>
  <c r="H115" i="3"/>
  <c r="H114" i="3"/>
  <c r="I113" i="3"/>
  <c r="H113" i="3"/>
  <c r="H112" i="3"/>
  <c r="H111" i="3"/>
  <c r="I110" i="3"/>
  <c r="H110" i="3"/>
  <c r="H109" i="3"/>
  <c r="H108" i="3"/>
  <c r="H104" i="3"/>
  <c r="I103" i="3"/>
  <c r="H103" i="3"/>
  <c r="H102" i="3"/>
  <c r="H101" i="3"/>
  <c r="I100" i="3"/>
  <c r="H100" i="3"/>
  <c r="H99" i="3"/>
  <c r="H98" i="3"/>
  <c r="H93" i="3"/>
  <c r="H92" i="3"/>
  <c r="I91" i="3"/>
  <c r="H91" i="3"/>
  <c r="H90" i="3"/>
  <c r="H89" i="3"/>
  <c r="I88" i="3"/>
  <c r="H88" i="3"/>
  <c r="H87" i="3"/>
  <c r="H86" i="3"/>
  <c r="H83" i="3"/>
  <c r="H82" i="3"/>
  <c r="I81" i="3"/>
  <c r="H81" i="3"/>
  <c r="H80" i="3"/>
  <c r="H79" i="3"/>
  <c r="I78" i="3"/>
  <c r="H78" i="3"/>
  <c r="H77" i="3"/>
  <c r="H76" i="3"/>
  <c r="H73" i="3"/>
  <c r="H72" i="3"/>
  <c r="I71" i="3"/>
  <c r="H71" i="3"/>
  <c r="H70" i="3"/>
  <c r="H69" i="3"/>
  <c r="I68" i="3"/>
  <c r="H68" i="3"/>
  <c r="H67" i="3"/>
  <c r="H66" i="3"/>
  <c r="H61" i="3"/>
  <c r="H60" i="3"/>
  <c r="I59" i="3"/>
  <c r="H59" i="3"/>
  <c r="H58" i="3"/>
  <c r="H57" i="3"/>
  <c r="I56" i="3"/>
  <c r="H56" i="3"/>
  <c r="H55" i="3"/>
  <c r="H54" i="3"/>
  <c r="H51" i="3"/>
  <c r="H50" i="3"/>
  <c r="I49" i="3"/>
  <c r="H49" i="3"/>
  <c r="H48" i="3"/>
  <c r="H47" i="3"/>
  <c r="I46" i="3"/>
  <c r="H46" i="3"/>
  <c r="H44" i="3"/>
  <c r="H41" i="3"/>
  <c r="I39" i="3"/>
  <c r="H39" i="3"/>
  <c r="H38" i="3"/>
  <c r="H37" i="3"/>
  <c r="I36" i="3"/>
  <c r="H36" i="3"/>
  <c r="H35" i="3"/>
  <c r="H34" i="3"/>
  <c r="H29" i="3"/>
  <c r="H28" i="3"/>
  <c r="I27" i="3"/>
  <c r="H27" i="3"/>
  <c r="H26" i="3"/>
  <c r="H25" i="3"/>
  <c r="I24" i="3"/>
  <c r="H24" i="3"/>
  <c r="H23" i="3"/>
  <c r="H22" i="3"/>
  <c r="H19" i="3"/>
  <c r="H18" i="3"/>
  <c r="I17" i="3"/>
  <c r="H17" i="3"/>
  <c r="H16" i="3"/>
  <c r="H15" i="3"/>
  <c r="I14" i="3"/>
  <c r="H14" i="3"/>
  <c r="H13" i="3"/>
  <c r="H12" i="3"/>
  <c r="H6" i="3"/>
  <c r="H3" i="3"/>
  <c r="H8" i="3"/>
  <c r="H7" i="3"/>
  <c r="H5" i="3"/>
  <c r="H4" i="3"/>
  <c r="H2" i="3"/>
  <c r="I7" i="3"/>
  <c r="I4" i="3"/>
  <c r="D8" i="3"/>
  <c r="D5" i="3"/>
  <c r="I174" i="3"/>
  <c r="D174" i="3"/>
  <c r="I170" i="3"/>
  <c r="D170" i="3"/>
  <c r="I166" i="3"/>
  <c r="H166" i="3"/>
  <c r="H165" i="3"/>
  <c r="D165" i="3"/>
  <c r="D163" i="3"/>
  <c r="I164" i="3"/>
  <c r="H164" i="3"/>
  <c r="H163" i="3"/>
  <c r="A13" i="3"/>
  <c r="A23" i="3" s="1"/>
  <c r="A35" i="3" s="1"/>
  <c r="A45" i="3" s="1"/>
  <c r="A55" i="3" s="1"/>
  <c r="A67" i="3" s="1"/>
  <c r="A77" i="3" s="1"/>
  <c r="A87" i="3" s="1"/>
  <c r="J40" i="13"/>
  <c r="I40" i="13"/>
  <c r="I39" i="13"/>
  <c r="I38" i="13"/>
  <c r="E38" i="13"/>
  <c r="J37" i="13"/>
  <c r="I37" i="13"/>
  <c r="I36" i="13"/>
  <c r="I35" i="13"/>
  <c r="E35" i="13"/>
  <c r="J34" i="13"/>
  <c r="I34" i="13"/>
  <c r="I33" i="13"/>
  <c r="I32" i="13"/>
  <c r="E32" i="13"/>
  <c r="J31" i="13"/>
  <c r="I31" i="13"/>
  <c r="I30" i="13"/>
  <c r="I29" i="13"/>
  <c r="E29" i="13"/>
  <c r="J22" i="13"/>
  <c r="I22" i="13"/>
  <c r="I21" i="13"/>
  <c r="I20" i="13"/>
  <c r="E20" i="13"/>
  <c r="J19" i="13"/>
  <c r="I19" i="13"/>
  <c r="I18" i="13"/>
  <c r="I17" i="13"/>
  <c r="E17" i="13"/>
  <c r="J16" i="13"/>
  <c r="I16" i="13"/>
  <c r="I15" i="13"/>
  <c r="I14" i="13"/>
  <c r="E14" i="13"/>
  <c r="J13" i="13"/>
  <c r="I13" i="13"/>
  <c r="I12" i="13"/>
  <c r="I11" i="13"/>
  <c r="E11" i="13"/>
  <c r="J10" i="13"/>
  <c r="I10" i="13"/>
  <c r="I9" i="13"/>
  <c r="I8" i="13"/>
  <c r="E8" i="13"/>
  <c r="J7" i="13"/>
  <c r="I7" i="13"/>
  <c r="I6" i="13"/>
  <c r="I5" i="13"/>
  <c r="E5" i="13"/>
  <c r="J4" i="13"/>
  <c r="I4" i="13"/>
  <c r="I3" i="13"/>
  <c r="I2" i="13"/>
  <c r="E2" i="13"/>
  <c r="B41" i="30" l="1"/>
  <c r="B40" i="30"/>
  <c r="B38" i="30"/>
  <c r="B39" i="30" s="1"/>
  <c r="B32" i="28"/>
  <c r="B33" i="28" s="1"/>
  <c r="B34" i="28" s="1"/>
  <c r="B35" i="28" s="1"/>
  <c r="B36" i="28" s="1"/>
  <c r="B37" i="28" s="1"/>
  <c r="B30" i="29"/>
  <c r="B31" i="29" s="1"/>
  <c r="B32" i="29"/>
  <c r="B32" i="26"/>
  <c r="B30" i="26"/>
  <c r="B31" i="26" s="1"/>
  <c r="B24" i="24"/>
  <c r="B23" i="24"/>
  <c r="A192" i="3"/>
  <c r="A191" i="3"/>
  <c r="A193" i="3"/>
  <c r="I180" i="3"/>
  <c r="I183" i="3"/>
  <c r="I179" i="3"/>
  <c r="I182" i="3"/>
  <c r="I178" i="3"/>
  <c r="I181" i="3"/>
  <c r="I184" i="3"/>
  <c r="I185" i="3"/>
  <c r="H183" i="3"/>
  <c r="H180" i="3"/>
  <c r="H178" i="3"/>
  <c r="H181" i="3"/>
  <c r="H182" i="3"/>
  <c r="H184" i="3"/>
  <c r="H179" i="3"/>
  <c r="H185" i="3"/>
  <c r="D181" i="3"/>
  <c r="D182" i="3"/>
  <c r="B182" i="3" s="1"/>
  <c r="D183" i="3"/>
  <c r="D184" i="3"/>
  <c r="D185" i="3"/>
  <c r="D178" i="3"/>
  <c r="D180" i="3"/>
  <c r="D179" i="3"/>
  <c r="B179" i="3" s="1"/>
  <c r="B66" i="15"/>
  <c r="B65" i="15"/>
  <c r="B67" i="15"/>
  <c r="B69" i="15"/>
  <c r="B68" i="15"/>
  <c r="B71" i="15"/>
  <c r="B70" i="15"/>
  <c r="B11" i="13"/>
  <c r="B9" i="13"/>
  <c r="B10" i="13" s="1"/>
  <c r="B11" i="15"/>
  <c r="B12" i="15" s="1"/>
  <c r="B13" i="15" s="1"/>
  <c r="B14" i="15"/>
  <c r="H188" i="3"/>
  <c r="H197" i="3"/>
  <c r="H196" i="3"/>
  <c r="H189" i="3"/>
  <c r="H195" i="3"/>
  <c r="H194" i="3"/>
  <c r="H193" i="3"/>
  <c r="H192" i="3"/>
  <c r="H191" i="3"/>
  <c r="H190" i="3"/>
  <c r="A109" i="3"/>
  <c r="A119" i="3" s="1"/>
  <c r="A131" i="3" s="1"/>
  <c r="A141" i="3" s="1"/>
  <c r="A151" i="3" s="1"/>
  <c r="A162" i="3" s="1"/>
  <c r="A168" i="3" s="1"/>
  <c r="A172" i="3" s="1"/>
  <c r="I173" i="3"/>
  <c r="D173" i="3"/>
  <c r="B45" i="30" l="1"/>
  <c r="B42" i="30"/>
  <c r="B43" i="30" s="1"/>
  <c r="B44" i="30" s="1"/>
  <c r="B41" i="28"/>
  <c r="B40" i="28"/>
  <c r="B38" i="28"/>
  <c r="B39" i="28" s="1"/>
  <c r="B33" i="29"/>
  <c r="B34" i="29" s="1"/>
  <c r="B35" i="29"/>
  <c r="B35" i="26"/>
  <c r="B33" i="26"/>
  <c r="B34" i="26" s="1"/>
  <c r="B26" i="24"/>
  <c r="B25" i="24"/>
  <c r="B185" i="3"/>
  <c r="B181" i="3"/>
  <c r="B178" i="3"/>
  <c r="B180" i="3"/>
  <c r="B184" i="3"/>
  <c r="B183" i="3"/>
  <c r="B54" i="13"/>
  <c r="B53" i="13"/>
  <c r="B51" i="13"/>
  <c r="B52" i="13"/>
  <c r="B50" i="13"/>
  <c r="B55" i="13"/>
  <c r="B12" i="13"/>
  <c r="B13" i="13" s="1"/>
  <c r="B14" i="13"/>
  <c r="B18" i="15"/>
  <c r="B17" i="15"/>
  <c r="B15" i="15"/>
  <c r="B16" i="15" s="1"/>
  <c r="I169" i="3"/>
  <c r="D169" i="3"/>
  <c r="B48" i="30" l="1"/>
  <c r="B46" i="30"/>
  <c r="B47" i="30" s="1"/>
  <c r="B52" i="30"/>
  <c r="B45" i="28"/>
  <c r="B42" i="28"/>
  <c r="B43" i="28" s="1"/>
  <c r="B44" i="28" s="1"/>
  <c r="B36" i="29"/>
  <c r="B37" i="29" s="1"/>
  <c r="B38" i="29"/>
  <c r="B36" i="26"/>
  <c r="B37" i="26" s="1"/>
  <c r="B38" i="26"/>
  <c r="B28" i="24"/>
  <c r="B27" i="24"/>
  <c r="B15" i="13"/>
  <c r="B16" i="13" s="1"/>
  <c r="B17" i="13"/>
  <c r="B22" i="15"/>
  <c r="B19" i="15"/>
  <c r="B20" i="15" s="1"/>
  <c r="B21" i="15" s="1"/>
  <c r="I189" i="3"/>
  <c r="I191" i="3"/>
  <c r="I194" i="3"/>
  <c r="I193" i="3"/>
  <c r="I195" i="3"/>
  <c r="I192" i="3"/>
  <c r="I197" i="3"/>
  <c r="I196" i="3"/>
  <c r="I190" i="3"/>
  <c r="I188" i="3"/>
  <c r="D191" i="3"/>
  <c r="D194" i="3"/>
  <c r="D190" i="3"/>
  <c r="D188" i="3"/>
  <c r="D189" i="3"/>
  <c r="B189" i="3" s="1"/>
  <c r="D195" i="3"/>
  <c r="B195" i="3" s="1"/>
  <c r="D196" i="3"/>
  <c r="D193" i="3"/>
  <c r="B193" i="3" s="1"/>
  <c r="D197" i="3"/>
  <c r="D192" i="3"/>
  <c r="B192" i="3" s="1"/>
  <c r="B53" i="30" l="1"/>
  <c r="B54" i="30" s="1"/>
  <c r="B55" i="30" s="1"/>
  <c r="B56" i="30"/>
  <c r="B48" i="28"/>
  <c r="B46" i="28"/>
  <c r="B47" i="28" s="1"/>
  <c r="B52" i="28"/>
  <c r="B41" i="29"/>
  <c r="B39" i="29"/>
  <c r="B40" i="29" s="1"/>
  <c r="B39" i="26"/>
  <c r="B40" i="26" s="1"/>
  <c r="B41" i="26"/>
  <c r="B29" i="24"/>
  <c r="B30" i="24"/>
  <c r="B197" i="3"/>
  <c r="B196" i="3"/>
  <c r="B188" i="3"/>
  <c r="B190" i="3"/>
  <c r="B194" i="3"/>
  <c r="B191" i="3"/>
  <c r="B20" i="13"/>
  <c r="B21" i="13" s="1"/>
  <c r="B22" i="13" s="1"/>
  <c r="B18" i="13"/>
  <c r="B19" i="13" s="1"/>
  <c r="B23" i="15"/>
  <c r="B24" i="15" s="1"/>
  <c r="B25" i="15"/>
  <c r="B26" i="15"/>
  <c r="B60" i="30" l="1"/>
  <c r="B57" i="30"/>
  <c r="B58" i="30" s="1"/>
  <c r="B59" i="30"/>
  <c r="B56" i="28"/>
  <c r="B53" i="28"/>
  <c r="B54" i="28" s="1"/>
  <c r="B55" i="28" s="1"/>
  <c r="B44" i="29"/>
  <c r="B45" i="29" s="1"/>
  <c r="B46" i="29" s="1"/>
  <c r="B47" i="29" s="1"/>
  <c r="B48" i="29" s="1"/>
  <c r="B49" i="29" s="1"/>
  <c r="B50" i="29" s="1"/>
  <c r="B42" i="29"/>
  <c r="B43" i="29" s="1"/>
  <c r="B42" i="26"/>
  <c r="B43" i="26" s="1"/>
  <c r="B44" i="26"/>
  <c r="B32" i="24"/>
  <c r="B31" i="24"/>
  <c r="B27" i="15"/>
  <c r="B28" i="15" s="1"/>
  <c r="B29" i="15" s="1"/>
  <c r="B30" i="15"/>
  <c r="B64" i="30" l="1"/>
  <c r="B65" i="30" s="1"/>
  <c r="B66" i="30" s="1"/>
  <c r="B67" i="30" s="1"/>
  <c r="B61" i="30"/>
  <c r="B62" i="30" s="1"/>
  <c r="B63" i="30" s="1"/>
  <c r="B57" i="28"/>
  <c r="B58" i="28" s="1"/>
  <c r="B60" i="28"/>
  <c r="B59" i="28"/>
  <c r="B45" i="26"/>
  <c r="B46" i="26" s="1"/>
  <c r="B47" i="26"/>
  <c r="B48" i="26" s="1"/>
  <c r="B33" i="24"/>
  <c r="B34" i="24"/>
  <c r="B35" i="24" s="1"/>
  <c r="B36" i="24" s="1"/>
  <c r="B31" i="15"/>
  <c r="B32" i="15" s="1"/>
  <c r="B33" i="15" s="1"/>
  <c r="B34" i="15"/>
  <c r="B61" i="28" l="1"/>
  <c r="B62" i="28" s="1"/>
  <c r="B63" i="28" s="1"/>
  <c r="B64" i="28"/>
  <c r="B65" i="28" s="1"/>
  <c r="B66" i="28" s="1"/>
  <c r="B67" i="28" s="1"/>
  <c r="B49" i="26"/>
  <c r="B38" i="15"/>
  <c r="B37" i="15"/>
  <c r="B35" i="15"/>
  <c r="B36" i="15" s="1"/>
  <c r="B39" i="15" l="1"/>
  <c r="B40" i="15" s="1"/>
  <c r="B41" i="15" s="1"/>
  <c r="B42" i="15"/>
  <c r="B45" i="15" l="1"/>
  <c r="B43" i="15"/>
  <c r="B44" i="15" s="1"/>
  <c r="B46" i="15"/>
  <c r="B50" i="15" l="1"/>
  <c r="B47" i="15"/>
  <c r="B48" i="15" s="1"/>
  <c r="B49" i="15" s="1"/>
  <c r="B54" i="15" l="1"/>
  <c r="B53" i="15"/>
  <c r="B51" i="15"/>
  <c r="B52" i="15" s="1"/>
  <c r="B55" i="15" l="1"/>
  <c r="B56" i="15" s="1"/>
  <c r="B57" i="15" s="1"/>
  <c r="B58" i="15"/>
  <c r="B59" i="15" s="1"/>
  <c r="B60" i="15" s="1"/>
  <c r="B61" i="15" s="1"/>
  <c r="B26" i="13" l="1"/>
  <c r="B29" i="13" s="1"/>
  <c r="B24" i="13"/>
  <c r="B25" i="13" s="1"/>
  <c r="B30" i="13" l="1"/>
  <c r="B31" i="13" s="1"/>
  <c r="B32" i="13"/>
  <c r="B27" i="13"/>
  <c r="B28" i="13" s="1"/>
  <c r="B35" i="13" l="1"/>
  <c r="B33" i="13"/>
  <c r="B34" i="13" s="1"/>
  <c r="B38" i="13" l="1"/>
  <c r="B39" i="13" s="1"/>
  <c r="B40" i="13" s="1"/>
  <c r="B36" i="13"/>
  <c r="B37" i="13" s="1"/>
  <c r="B44" i="13" s="1"/>
  <c r="B45" i="13" s="1"/>
  <c r="B46" i="13" s="1"/>
  <c r="B47" i="1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<sst xmlns="http://schemas.openxmlformats.org/spreadsheetml/2006/main" count="6124" uniqueCount="302">
  <si>
    <t>Court 1</t>
  </si>
  <si>
    <t>Court 2</t>
  </si>
  <si>
    <t>Court 3</t>
  </si>
  <si>
    <t>v</t>
  </si>
  <si>
    <t>Dunlop Volley</t>
  </si>
  <si>
    <t>Wilsons</t>
  </si>
  <si>
    <t>Date</t>
  </si>
  <si>
    <t>Time</t>
  </si>
  <si>
    <t>Court</t>
  </si>
  <si>
    <t>Court Set up</t>
  </si>
  <si>
    <t>Team 1</t>
  </si>
  <si>
    <t>Team 2</t>
  </si>
  <si>
    <t>Umpiring</t>
  </si>
  <si>
    <t>Pack Up</t>
  </si>
  <si>
    <t>Round 1</t>
  </si>
  <si>
    <t>6:30pm</t>
  </si>
  <si>
    <t>7:15pm</t>
  </si>
  <si>
    <t>8:00pm</t>
  </si>
  <si>
    <t>Round 2</t>
  </si>
  <si>
    <t>Round 3</t>
  </si>
  <si>
    <t>Round 4</t>
  </si>
  <si>
    <t>Round 5</t>
  </si>
  <si>
    <t>Round 6</t>
  </si>
  <si>
    <t>Round 7</t>
  </si>
  <si>
    <t>Round 8</t>
  </si>
  <si>
    <t>SCHOOL HOLIDAYS</t>
  </si>
  <si>
    <t>Round 9</t>
  </si>
  <si>
    <t>Round 10</t>
  </si>
  <si>
    <t>Round 11</t>
  </si>
  <si>
    <t>Round 12</t>
  </si>
  <si>
    <t>Round 13</t>
  </si>
  <si>
    <t>Round 14</t>
  </si>
  <si>
    <t>Round 15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</si>
  <si>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</si>
  <si>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</si>
  <si>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</si>
  <si>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</si>
  <si>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</si>
  <si>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</si>
  <si>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</si>
  <si>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</si>
  <si>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</si>
  <si>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</si>
  <si>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</si>
  <si>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</si>
  <si>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</si>
  <si>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</si>
  <si>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Total</t>
  </si>
  <si>
    <t>Best in Team</t>
  </si>
  <si>
    <t>T1</t>
  </si>
  <si>
    <t>T2</t>
  </si>
  <si>
    <t>T3</t>
  </si>
  <si>
    <t>T4</t>
  </si>
  <si>
    <t>6:00pm</t>
  </si>
  <si>
    <t>6:45pm</t>
  </si>
  <si>
    <t>7:30pm</t>
  </si>
  <si>
    <t>T5</t>
  </si>
  <si>
    <t>T6</t>
  </si>
  <si>
    <t>Grand Final</t>
  </si>
  <si>
    <t>Winner Team 1/2</t>
  </si>
  <si>
    <t>Winner Major Semi</t>
  </si>
  <si>
    <t>Major Semi Final</t>
  </si>
  <si>
    <t>tba</t>
  </si>
  <si>
    <t>Number of set up</t>
  </si>
  <si>
    <t>Number of umpires</t>
  </si>
  <si>
    <t>Number of pack up</t>
  </si>
  <si>
    <t>Duties</t>
  </si>
  <si>
    <t>T8</t>
  </si>
  <si>
    <t>T7</t>
  </si>
  <si>
    <t>V</t>
  </si>
  <si>
    <t>Minor Semi Final</t>
  </si>
  <si>
    <t>20 and 27 Spetember</t>
  </si>
  <si>
    <t>Rank 1</t>
  </si>
  <si>
    <t>Rank 2</t>
  </si>
  <si>
    <t>Rank 3</t>
  </si>
  <si>
    <t>Rank 4</t>
  </si>
  <si>
    <t>Loser Rank 1/2</t>
  </si>
  <si>
    <t>Winner Rank 3/4</t>
  </si>
  <si>
    <t>Winner Rank 1/2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</si>
  <si>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</si>
  <si>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</si>
  <si>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</si>
  <si>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</si>
  <si>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</si>
  <si>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</si>
  <si>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</si>
  <si>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</si>
  <si>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</si>
  <si>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</si>
  <si>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Games</t>
  </si>
  <si>
    <t>Umpire</t>
  </si>
  <si>
    <t>Set up</t>
  </si>
  <si>
    <t>Round</t>
  </si>
  <si>
    <t xml:space="preserve">Deductions </t>
  </si>
  <si>
    <t>For</t>
  </si>
  <si>
    <t>Against</t>
  </si>
  <si>
    <t>Points</t>
  </si>
  <si>
    <t>%</t>
  </si>
  <si>
    <t>Ctrl + Shift + L to sort ladder</t>
  </si>
  <si>
    <t>Packup</t>
  </si>
  <si>
    <t>7:00 pm</t>
  </si>
  <si>
    <t>7:45 pm</t>
  </si>
  <si>
    <t>BYE</t>
  </si>
  <si>
    <t>Prelim Final</t>
  </si>
  <si>
    <t>Semi Final</t>
  </si>
  <si>
    <t>Final</t>
  </si>
  <si>
    <t>1st</t>
  </si>
  <si>
    <t>2nd</t>
  </si>
  <si>
    <t>3rd</t>
  </si>
  <si>
    <t>4th</t>
  </si>
  <si>
    <t>Loser 1v2</t>
  </si>
  <si>
    <t>Winner 3v4</t>
  </si>
  <si>
    <t>Winner 1v2</t>
  </si>
  <si>
    <t>Winner prelim</t>
  </si>
  <si>
    <t>Winner Semi</t>
  </si>
  <si>
    <t>Family</t>
  </si>
  <si>
    <t>Organised Chaos</t>
  </si>
  <si>
    <t>Mixed A Grade</t>
  </si>
  <si>
    <t>Mixed B Grade</t>
  </si>
  <si>
    <t>Nick</t>
  </si>
  <si>
    <t>Stacey</t>
  </si>
  <si>
    <t>Chewblockers</t>
  </si>
  <si>
    <t>Hit Happens</t>
  </si>
  <si>
    <t>MTA</t>
  </si>
  <si>
    <t>Practice Safe Sets</t>
  </si>
  <si>
    <t>Fitzroy Misfitz A</t>
  </si>
  <si>
    <t>Fitzroy Misfitz B</t>
  </si>
  <si>
    <t>Jump Squad</t>
  </si>
  <si>
    <t>Netflicks</t>
  </si>
  <si>
    <t>Stacey's Team</t>
  </si>
  <si>
    <t>That's What She Set</t>
  </si>
  <si>
    <t>Ankle Biters</t>
  </si>
  <si>
    <t xml:space="preserve">I'd Hit That </t>
  </si>
  <si>
    <t>Ballz Deep</t>
  </si>
  <si>
    <t>Team</t>
  </si>
  <si>
    <t>Jack</t>
  </si>
  <si>
    <t>Brandon</t>
  </si>
  <si>
    <t>Zach</t>
  </si>
  <si>
    <t>Aaliyah</t>
  </si>
  <si>
    <t>Emily</t>
  </si>
  <si>
    <t>Summer</t>
  </si>
  <si>
    <t>Louis</t>
  </si>
  <si>
    <t>Jimmy</t>
  </si>
  <si>
    <t>T4 = Chewbockers</t>
  </si>
  <si>
    <t>Maddy</t>
  </si>
  <si>
    <t>Fitzroy Ferals</t>
  </si>
  <si>
    <t>Fitzroy Freaks</t>
  </si>
  <si>
    <t>Fitzroy Rebels</t>
  </si>
  <si>
    <t>Fitzroy Rejects</t>
  </si>
  <si>
    <t>Jordey's Team</t>
  </si>
  <si>
    <t>CANT</t>
  </si>
  <si>
    <t>No Diggity</t>
  </si>
  <si>
    <t>Ball Slappers</t>
  </si>
  <si>
    <t>The Clique</t>
  </si>
  <si>
    <t>Pan Set</t>
  </si>
  <si>
    <t>A</t>
  </si>
  <si>
    <t>B</t>
  </si>
  <si>
    <t>C</t>
  </si>
  <si>
    <t>School Holidays</t>
  </si>
  <si>
    <t>Wed 10 Dec</t>
  </si>
  <si>
    <t>5th</t>
  </si>
  <si>
    <t>L3</t>
  </si>
  <si>
    <t>L4</t>
  </si>
  <si>
    <t>L2</t>
  </si>
  <si>
    <t>L5</t>
  </si>
  <si>
    <t>L1</t>
  </si>
  <si>
    <t>Easties 1</t>
  </si>
  <si>
    <t>Easties 2</t>
  </si>
  <si>
    <t>Mixed Bag</t>
  </si>
  <si>
    <t>Juniors</t>
  </si>
  <si>
    <t>The Village</t>
  </si>
  <si>
    <t>Bye</t>
  </si>
  <si>
    <t>T9</t>
  </si>
  <si>
    <t>Diggin' It</t>
  </si>
  <si>
    <t>Powerpuff Girls</t>
  </si>
  <si>
    <t>Bull Bashers</t>
  </si>
  <si>
    <t>Aceholes</t>
  </si>
  <si>
    <t>Netflix</t>
  </si>
  <si>
    <t xml:space="preserve">School Holidays </t>
  </si>
  <si>
    <t>Back In The Day</t>
  </si>
  <si>
    <t>Fitroy Rebels</t>
  </si>
  <si>
    <t>Bull Spikers</t>
  </si>
  <si>
    <t>Diggin It</t>
  </si>
  <si>
    <t>Fitroy Ferals</t>
  </si>
  <si>
    <t>Fitroy Freaks</t>
  </si>
  <si>
    <t>Mixed C Grade</t>
  </si>
  <si>
    <t>Fitroy Rejects</t>
  </si>
  <si>
    <t>Ladies</t>
  </si>
  <si>
    <t>Back in the Day</t>
  </si>
  <si>
    <t>Ladies Grade</t>
  </si>
  <si>
    <t>Jaydene</t>
  </si>
  <si>
    <t>Dan</t>
  </si>
  <si>
    <t>Kia</t>
  </si>
  <si>
    <t>G</t>
  </si>
  <si>
    <t>Noah</t>
  </si>
  <si>
    <t>Bill</t>
  </si>
  <si>
    <t>Cale</t>
  </si>
  <si>
    <t>Emilie</t>
  </si>
  <si>
    <t>Sommer</t>
  </si>
  <si>
    <t>Nicole</t>
  </si>
  <si>
    <t>Sav</t>
  </si>
  <si>
    <t>Bec</t>
  </si>
  <si>
    <t>Katie</t>
  </si>
  <si>
    <t>Sharon</t>
  </si>
  <si>
    <t>Faith</t>
  </si>
  <si>
    <t>Amelia</t>
  </si>
  <si>
    <t>Niki</t>
  </si>
  <si>
    <t>Kiahma</t>
  </si>
  <si>
    <t>Gabby</t>
  </si>
  <si>
    <t>Glenn</t>
  </si>
  <si>
    <t>Belle</t>
  </si>
  <si>
    <t>Chantelle</t>
  </si>
  <si>
    <t>Matt</t>
  </si>
  <si>
    <t>Tahj</t>
  </si>
  <si>
    <t>Naomi</t>
  </si>
  <si>
    <t>Bridgette</t>
  </si>
  <si>
    <t>William</t>
  </si>
  <si>
    <t>Rick</t>
  </si>
  <si>
    <t>Jai</t>
  </si>
  <si>
    <t>Walter</t>
  </si>
  <si>
    <t>Wendy</t>
  </si>
  <si>
    <t>Joel</t>
  </si>
  <si>
    <t>Emma</t>
  </si>
  <si>
    <t>Zoe</t>
  </si>
  <si>
    <t>Tyla</t>
  </si>
  <si>
    <t>Sam</t>
  </si>
  <si>
    <t>Jesse</t>
  </si>
  <si>
    <t>Lauren</t>
  </si>
  <si>
    <t>Laura</t>
  </si>
  <si>
    <t>Deacon</t>
  </si>
  <si>
    <t>Kobi</t>
  </si>
  <si>
    <t>Jared</t>
  </si>
  <si>
    <t>Travis</t>
  </si>
  <si>
    <t>Trish</t>
  </si>
  <si>
    <t>Mel</t>
  </si>
  <si>
    <t>Mary</t>
  </si>
  <si>
    <t>Jen</t>
  </si>
  <si>
    <t>Kylie</t>
  </si>
  <si>
    <t>Shaun</t>
  </si>
  <si>
    <t>Lyka</t>
  </si>
  <si>
    <t>Sarah</t>
  </si>
  <si>
    <t>Logyn</t>
  </si>
  <si>
    <t>Kanah</t>
  </si>
  <si>
    <t>Leigh</t>
  </si>
  <si>
    <t>Bri</t>
  </si>
  <si>
    <t>Stevie</t>
  </si>
  <si>
    <t>Jamie</t>
  </si>
  <si>
    <t>Ash</t>
  </si>
  <si>
    <t>Aleeha</t>
  </si>
  <si>
    <t>Cate</t>
  </si>
  <si>
    <t>Rebecca</t>
  </si>
  <si>
    <t>Cassie</t>
  </si>
  <si>
    <t>Sally</t>
  </si>
  <si>
    <t>WOF</t>
  </si>
  <si>
    <t>LOF</t>
  </si>
  <si>
    <t>Tanya</t>
  </si>
  <si>
    <t>no game</t>
  </si>
  <si>
    <t>Caleb</t>
  </si>
  <si>
    <t>Ricki</t>
  </si>
  <si>
    <t>Holly</t>
  </si>
  <si>
    <t>Marty</t>
  </si>
  <si>
    <t>Sefika</t>
  </si>
  <si>
    <t>Alistair</t>
  </si>
  <si>
    <t>Claudia</t>
  </si>
  <si>
    <t>Ella</t>
  </si>
  <si>
    <t>Harley</t>
  </si>
  <si>
    <t>Dion</t>
  </si>
  <si>
    <t>Ishaan</t>
  </si>
  <si>
    <t>Steve</t>
  </si>
  <si>
    <t>Hayley</t>
  </si>
  <si>
    <t>Princess</t>
  </si>
  <si>
    <t>Kayden</t>
  </si>
  <si>
    <t>Josh</t>
  </si>
  <si>
    <t>Peta</t>
  </si>
  <si>
    <t>no ga</t>
  </si>
  <si>
    <t>Wed 3 Dec</t>
  </si>
  <si>
    <t>Dishwash</t>
  </si>
  <si>
    <t>Flying Fijians</t>
  </si>
  <si>
    <t>TBD</t>
  </si>
  <si>
    <t>Ballz Deeper</t>
  </si>
  <si>
    <t>Serves You Right</t>
  </si>
  <si>
    <t>Team 3</t>
  </si>
  <si>
    <t>Team 4</t>
  </si>
  <si>
    <t>Team 5</t>
  </si>
  <si>
    <t>Mens</t>
  </si>
  <si>
    <t>Mens Grade</t>
  </si>
  <si>
    <t>Aryan</t>
  </si>
  <si>
    <t>Simeon</t>
  </si>
  <si>
    <t>Tara</t>
  </si>
  <si>
    <t>No game</t>
  </si>
  <si>
    <t>Kyle</t>
  </si>
  <si>
    <t>Phil</t>
  </si>
  <si>
    <t>Quaid</t>
  </si>
  <si>
    <t>Mikaylah</t>
  </si>
  <si>
    <t>Jye</t>
  </si>
  <si>
    <t>Aaron</t>
  </si>
  <si>
    <t>Ben</t>
  </si>
  <si>
    <t>Gee</t>
  </si>
  <si>
    <t>Mick</t>
  </si>
  <si>
    <t>Fiztroy Freaks</t>
  </si>
  <si>
    <t>Raj</t>
  </si>
  <si>
    <t>Ryan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</si>
</sst>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9]dd\-mmm\-yy;@"/>
  </numFmts>
  <fonts count="10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8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color rgb="FF0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54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0" fontId="0" fillId="6" borderId="1" xfId="0" applyFill="1" applyBorder="1" applyAlignment="1">
      <alignment horizontal="left" vertical="top"/>
    </xf>
    <xf numFmtId="0" fontId="0" fillId="0" borderId="1" xfId="0" applyBorder="1" applyAlignment="1">
      <alignment horizontal="left"/>
    </xf>
    <xf numFmtId="0" fontId="0" fillId="6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14" fontId="4" fillId="2" borderId="2" xfId="0" applyNumberFormat="1" applyFont="1" applyFill="1" applyBorder="1" applyAlignment="1">
      <alignment horizontal="centerContinuous" vertical="center" wrapText="1"/>
    </xf>
    <xf numFmtId="0" fontId="4" fillId="2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14" fontId="4" fillId="0" borderId="1" xfId="0" applyNumberFormat="1" applyFont="1" applyFill="1" applyBorder="1" applyAlignment="1">
      <alignment horizontal="centerContinuous" vertical="center"/>
    </xf>
    <xf numFmtId="0" fontId="4" fillId="0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Continuous" vertical="center" wrapText="1"/>
    </xf>
    <xf numFmtId="14" fontId="4" fillId="0" borderId="0" xfId="0" applyNumberFormat="1" applyFont="1" applyFill="1" applyBorder="1" applyAlignment="1">
      <alignment horizontal="centerContinuous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6" fontId="4" fillId="5" borderId="1" xfId="0" applyNumberFormat="1" applyFont="1" applyFill="1" applyBorder="1" applyAlignment="1">
      <alignment horizontal="center" vertical="center"/>
    </xf>
    <xf numFmtId="16" fontId="4" fillId="0" borderId="1" xfId="0" applyNumberFormat="1" applyFont="1" applyFill="1" applyBorder="1" applyAlignment="1">
      <alignment horizontal="center" vertical="center" wrapText="1"/>
    </xf>
    <xf numFmtId="14" fontId="4" fillId="0" borderId="0" xfId="0" applyNumberFormat="1" applyFont="1" applyAlignment="1">
      <alignment horizontal="centerContinuous" vertical="center"/>
    </xf>
    <xf numFmtId="0" fontId="4" fillId="4" borderId="1" xfId="0" applyFont="1" applyFill="1" applyBorder="1" applyAlignment="1">
      <alignment horizontal="center" vertical="center"/>
    </xf>
    <xf numFmtId="0" fontId="0" fillId="5" borderId="1" xfId="0" applyFill="1" applyBorder="1"/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/>
    </xf>
    <xf numFmtId="0" fontId="5" fillId="5" borderId="1" xfId="0" applyFont="1" applyFill="1" applyBorder="1" applyAlignment="1">
      <alignment horizontal="center" vertical="center"/>
    </xf>
    <xf numFmtId="164" fontId="5" fillId="5" borderId="1" xfId="0" applyNumberFormat="1" applyFont="1" applyFill="1" applyBorder="1" applyAlignment="1">
      <alignment horizontal="center" vertical="center"/>
    </xf>
    <xf numFmtId="49" fontId="5" fillId="5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5" fillId="0" borderId="1" xfId="0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164" fontId="5" fillId="7" borderId="1" xfId="0" applyNumberFormat="1" applyFont="1" applyFill="1" applyBorder="1" applyAlignment="1">
      <alignment horizontal="center" vertical="center"/>
    </xf>
    <xf numFmtId="49" fontId="5" fillId="7" borderId="1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0" fillId="0" borderId="0" xfId="0"/>
    <xf numFmtId="0" fontId="7" fillId="5" borderId="1" xfId="0" applyFont="1" applyFill="1" applyBorder="1" applyAlignment="1">
      <alignment horizontal="center" vertical="center"/>
    </xf>
    <xf numFmtId="164" fontId="7" fillId="5" borderId="1" xfId="0" applyNumberFormat="1" applyFont="1" applyFill="1" applyBorder="1" applyAlignment="1">
      <alignment horizontal="center" vertical="center"/>
    </xf>
    <xf numFmtId="49" fontId="7" fillId="5" borderId="1" xfId="0" applyNumberFormat="1" applyFont="1" applyFill="1" applyBorder="1" applyAlignment="1">
      <alignment horizontal="center" vertical="center"/>
    </xf>
    <xf numFmtId="0" fontId="7" fillId="0" borderId="0" xfId="0" applyFont="1"/>
    <xf numFmtId="0" fontId="7" fillId="0" borderId="1" xfId="0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7" borderId="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1" fontId="0" fillId="6" borderId="1" xfId="1" applyNumberFormat="1" applyFont="1" applyFill="1" applyBorder="1" applyAlignment="1">
      <alignment horizontal="center" vertical="center"/>
    </xf>
    <xf numFmtId="1" fontId="0" fillId="0" borderId="1" xfId="1" applyNumberFormat="1" applyFont="1" applyBorder="1" applyAlignment="1">
      <alignment horizontal="center" vertical="center"/>
    </xf>
    <xf numFmtId="1" fontId="0" fillId="0" borderId="0" xfId="1" applyNumberFormat="1" applyFont="1" applyAlignment="1">
      <alignment horizontal="center" vertical="center"/>
    </xf>
    <xf numFmtId="0" fontId="6" fillId="0" borderId="1" xfId="0" applyFont="1" applyFill="1" applyBorder="1" applyAlignment="1">
      <alignment horizontal="center" vertical="top" wrapText="1"/>
    </xf>
    <xf numFmtId="20" fontId="1" fillId="0" borderId="1" xfId="0" applyNumberFormat="1" applyFont="1" applyFill="1" applyBorder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0" fillId="0" borderId="0" xfId="0" applyFill="1" applyAlignment="1">
      <alignment vertical="top"/>
    </xf>
    <xf numFmtId="0" fontId="4" fillId="0" borderId="1" xfId="0" applyFont="1" applyBorder="1" applyAlignment="1">
      <alignment horizontal="center" vertical="center"/>
    </xf>
    <xf numFmtId="14" fontId="4" fillId="2" borderId="2" xfId="0" applyNumberFormat="1" applyFont="1" applyFill="1" applyBorder="1" applyAlignment="1">
      <alignment horizontal="center" vertical="center" wrapText="1"/>
    </xf>
    <xf numFmtId="20" fontId="4" fillId="0" borderId="1" xfId="0" applyNumberFormat="1" applyFont="1" applyBorder="1" applyAlignment="1">
      <alignment horizontal="center" vertical="center"/>
    </xf>
    <xf numFmtId="14" fontId="0" fillId="2" borderId="2" xfId="0" applyNumberFormat="1" applyFill="1" applyBorder="1" applyAlignment="1">
      <alignment horizontal="centerContinuous" vertical="center" wrapText="1"/>
    </xf>
    <xf numFmtId="1" fontId="0" fillId="0" borderId="0" xfId="0" applyNumberFormat="1"/>
    <xf numFmtId="1" fontId="0" fillId="6" borderId="1" xfId="0" applyNumberForma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9" fontId="0" fillId="6" borderId="1" xfId="0" applyNumberFormat="1" applyFill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14" fontId="4" fillId="2" borderId="2" xfId="0" applyNumberFormat="1" applyFont="1" applyFill="1" applyBorder="1" applyAlignment="1">
      <alignment horizontal="left" vertical="center" wrapText="1"/>
    </xf>
    <xf numFmtId="14" fontId="4" fillId="0" borderId="1" xfId="0" applyNumberFormat="1" applyFont="1" applyBorder="1" applyAlignment="1">
      <alignment horizontal="left" vertical="center"/>
    </xf>
    <xf numFmtId="14" fontId="4" fillId="0" borderId="1" xfId="0" applyNumberFormat="1" applyFont="1" applyBorder="1" applyAlignment="1">
      <alignment horizontal="left" vertical="center" wrapText="1"/>
    </xf>
    <xf numFmtId="0" fontId="4" fillId="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49" fontId="7" fillId="10" borderId="1" xfId="0" applyNumberFormat="1" applyFont="1" applyFill="1" applyBorder="1" applyAlignment="1">
      <alignment horizontal="center" vertical="center"/>
    </xf>
    <xf numFmtId="164" fontId="7" fillId="10" borderId="1" xfId="0" applyNumberFormat="1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4" fontId="0" fillId="2" borderId="2" xfId="0" applyNumberForma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20" fontId="8" fillId="0" borderId="1" xfId="0" applyNumberFormat="1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/>
    </xf>
    <xf numFmtId="164" fontId="7" fillId="11" borderId="1" xfId="0" applyNumberFormat="1" applyFont="1" applyFill="1" applyBorder="1" applyAlignment="1">
      <alignment horizontal="center" vertical="center"/>
    </xf>
    <xf numFmtId="49" fontId="7" fillId="11" borderId="1" xfId="0" applyNumberFormat="1" applyFont="1" applyFill="1" applyBorder="1" applyAlignment="1">
      <alignment horizontal="center" vertical="center"/>
    </xf>
    <xf numFmtId="164" fontId="7" fillId="6" borderId="1" xfId="0" applyNumberFormat="1" applyFont="1" applyFill="1" applyBorder="1" applyAlignment="1">
      <alignment horizontal="center" vertical="center"/>
    </xf>
    <xf numFmtId="164" fontId="4" fillId="0" borderId="1" xfId="0" applyNumberFormat="1" applyFont="1" applyFill="1" applyBorder="1" applyAlignment="1">
      <alignment horizontal="centerContinuous" vertical="center" wrapText="1"/>
    </xf>
    <xf numFmtId="16" fontId="4" fillId="5" borderId="5" xfId="0" applyNumberFormat="1" applyFont="1" applyFill="1" applyBorder="1" applyAlignment="1">
      <alignment vertical="center" wrapText="1"/>
    </xf>
    <xf numFmtId="16" fontId="4" fillId="5" borderId="6" xfId="0" applyNumberFormat="1" applyFont="1" applyFill="1" applyBorder="1" applyAlignment="1">
      <alignment vertical="center" wrapText="1"/>
    </xf>
    <xf numFmtId="164" fontId="4" fillId="5" borderId="1" xfId="0" applyNumberFormat="1" applyFont="1" applyFill="1" applyBorder="1" applyAlignment="1">
      <alignment horizontal="centerContinuous" vertical="center" wrapText="1"/>
    </xf>
    <xf numFmtId="0" fontId="5" fillId="10" borderId="1" xfId="0" applyFont="1" applyFill="1" applyBorder="1" applyAlignment="1">
      <alignment horizontal="center" vertical="center"/>
    </xf>
    <xf numFmtId="164" fontId="5" fillId="10" borderId="1" xfId="0" applyNumberFormat="1" applyFont="1" applyFill="1" applyBorder="1" applyAlignment="1">
      <alignment horizontal="center" vertical="center"/>
    </xf>
    <xf numFmtId="49" fontId="5" fillId="1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164" fontId="5" fillId="0" borderId="1" xfId="0" applyNumberFormat="1" applyFont="1" applyFill="1" applyBorder="1" applyAlignment="1">
      <alignment horizontal="center" vertical="center"/>
    </xf>
    <xf numFmtId="49" fontId="5" fillId="0" borderId="1" xfId="0" applyNumberFormat="1" applyFont="1" applyFill="1" applyBorder="1" applyAlignment="1">
      <alignment horizontal="center" vertical="center"/>
    </xf>
    <xf numFmtId="164" fontId="5" fillId="0" borderId="1" xfId="0" applyNumberFormat="1" applyFont="1" applyFill="1" applyBorder="1" applyAlignment="1">
      <alignment horizontal="right" vertical="center"/>
    </xf>
    <xf numFmtId="49" fontId="5" fillId="0" borderId="1" xfId="0" applyNumberFormat="1" applyFont="1" applyFill="1" applyBorder="1" applyAlignment="1">
      <alignment horizontal="right" vertical="center"/>
    </xf>
    <xf numFmtId="164" fontId="5" fillId="6" borderId="1" xfId="0" applyNumberFormat="1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164" fontId="7" fillId="7" borderId="1" xfId="0" applyNumberFormat="1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164" fontId="7" fillId="0" borderId="1" xfId="0" applyNumberFormat="1" applyFont="1" applyFill="1" applyBorder="1" applyAlignment="1">
      <alignment horizontal="center" vertical="center"/>
    </xf>
    <xf numFmtId="49" fontId="7" fillId="0" borderId="1" xfId="0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164" fontId="7" fillId="0" borderId="0" xfId="0" applyNumberFormat="1" applyFont="1" applyFill="1" applyAlignment="1">
      <alignment horizontal="center" vertical="center"/>
    </xf>
    <xf numFmtId="49" fontId="7" fillId="0" borderId="0" xfId="0" applyNumberFormat="1" applyFont="1" applyFill="1" applyAlignment="1">
      <alignment horizontal="center" vertical="center"/>
    </xf>
    <xf numFmtId="14" fontId="7" fillId="0" borderId="0" xfId="0" applyNumberFormat="1" applyFont="1" applyAlignment="1">
      <alignment horizontal="centerContinuous" vertical="center"/>
    </xf>
    <xf numFmtId="0" fontId="7" fillId="8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vertical="center" wrapText="1"/>
    </xf>
    <xf numFmtId="164" fontId="5" fillId="0" borderId="1" xfId="0" applyNumberFormat="1" applyFont="1" applyBorder="1" applyAlignment="1">
      <alignment horizontal="right" vertical="center"/>
    </xf>
    <xf numFmtId="0" fontId="7" fillId="10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Continuous" vertical="center" wrapText="1"/>
    </xf>
    <xf numFmtId="0" fontId="0" fillId="0" borderId="1" xfId="0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 wrapText="1"/>
    </xf>
    <xf numFmtId="14" fontId="0" fillId="2" borderId="1" xfId="0" applyNumberFormat="1" applyFill="1" applyBorder="1" applyAlignment="1">
      <alignment horizontal="center" vertical="center" wrapText="1"/>
    </xf>
    <xf numFmtId="14" fontId="0" fillId="2" borderId="1" xfId="0" applyNumberFormat="1" applyFill="1" applyBorder="1" applyAlignment="1">
      <alignment horizontal="centerContinuous" vertical="center" wrapText="1"/>
    </xf>
    <xf numFmtId="0" fontId="0" fillId="0" borderId="1" xfId="0" applyFont="1" applyBorder="1" applyAlignment="1">
      <alignment horizontal="center" vertical="center"/>
    </xf>
    <xf numFmtId="14" fontId="0" fillId="0" borderId="1" xfId="0" applyNumberFormat="1" applyFont="1" applyBorder="1" applyAlignment="1">
      <alignment horizontal="center" vertical="center"/>
    </xf>
    <xf numFmtId="164" fontId="5" fillId="6" borderId="4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7" fillId="8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7" fillId="5" borderId="1" xfId="0" applyFont="1" applyFill="1" applyBorder="1" applyAlignment="1">
      <alignment horizontal="center" vertical="center" wrapText="1"/>
    </xf>
    <xf numFmtId="16" fontId="4" fillId="5" borderId="4" xfId="0" applyNumberFormat="1" applyFont="1" applyFill="1" applyBorder="1" applyAlignment="1">
      <alignment horizontal="center" vertical="center" wrapText="1"/>
    </xf>
    <xf numFmtId="16" fontId="4" fillId="5" borderId="5" xfId="0" applyNumberFormat="1" applyFont="1" applyFill="1" applyBorder="1" applyAlignment="1">
      <alignment horizontal="center" vertical="center" wrapText="1"/>
    </xf>
    <xf numFmtId="16" fontId="4" fillId="5" borderId="6" xfId="0" applyNumberFormat="1" applyFont="1" applyFill="1" applyBorder="1" applyAlignment="1">
      <alignment horizontal="center" vertical="center" wrapText="1"/>
    </xf>
    <xf numFmtId="16" fontId="4" fillId="5" borderId="4" xfId="0" applyNumberFormat="1" applyFont="1" applyFill="1" applyBorder="1" applyAlignment="1">
      <alignment horizontal="center" vertical="center"/>
    </xf>
    <xf numFmtId="16" fontId="4" fillId="5" borderId="5" xfId="0" applyNumberFormat="1" applyFont="1" applyFill="1" applyBorder="1" applyAlignment="1">
      <alignment horizontal="center" vertical="center"/>
    </xf>
    <xf numFmtId="16" fontId="4" fillId="5" borderId="6" xfId="0" applyNumberFormat="1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7"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BA8CDC"/>
      <color rgb="FFFDF0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835F4-3565-43F0-8C4E-2AB591452A4B}">
  <sheetPr codeName="Sheet4"/>
  <dimension ref="A1:P12"/>
  <sheetViews>
    <sheetView zoomScale="40" zoomScaleNormal="40" workbookViewId="0">
      <selection activeCell="P8" sqref="P8:P9"/>
    </sheetView>
  </sheetViews>
  <sheetFormatPr defaultColWidth="34.44140625" defaultRowHeight="54.6" customHeight="1" x14ac:dyDescent="0.3"/>
  <cols>
    <col min="1" max="1" width="14.6640625" style="84" customWidth="1"/>
    <col min="2" max="2" width="34.44140625" style="84"/>
    <col min="3" max="3" width="10" style="84" customWidth="1"/>
    <col min="4" max="4" width="34.44140625" style="84"/>
    <col min="5" max="5" width="14.6640625" style="84" customWidth="1"/>
    <col min="6" max="6" width="34.44140625" style="84"/>
    <col min="7" max="7" width="9.33203125" style="84" customWidth="1"/>
    <col min="8" max="8" width="34.44140625" style="84"/>
    <col min="9" max="9" width="13" style="84" customWidth="1"/>
    <col min="10" max="10" width="34.44140625" style="84"/>
    <col min="11" max="11" width="10.6640625" style="84" customWidth="1"/>
    <col min="12" max="12" width="34.44140625" style="84"/>
    <col min="13" max="16384" width="34.44140625" style="1"/>
  </cols>
  <sheetData>
    <row r="1" spans="1:16" ht="54.6" customHeight="1" x14ac:dyDescent="0.3">
      <c r="A1" s="137" t="s">
        <v>1</v>
      </c>
      <c r="B1" s="137"/>
      <c r="C1" s="137"/>
      <c r="D1" s="137"/>
      <c r="E1" s="137" t="s">
        <v>0</v>
      </c>
      <c r="F1" s="137"/>
      <c r="G1" s="137"/>
      <c r="H1" s="137"/>
      <c r="I1" s="137" t="s">
        <v>2</v>
      </c>
      <c r="J1" s="137"/>
      <c r="K1" s="137"/>
      <c r="L1" s="137"/>
    </row>
    <row r="2" spans="1:16" ht="54.6" customHeight="1" x14ac:dyDescent="0.3">
      <c r="A2" s="87">
        <v>0.27083333333333331</v>
      </c>
      <c r="B2" s="88" t="s">
        <v>4</v>
      </c>
      <c r="C2" s="89" t="s">
        <v>3</v>
      </c>
      <c r="D2" s="88" t="s">
        <v>153</v>
      </c>
      <c r="E2" s="87">
        <v>0.27083333333333331</v>
      </c>
      <c r="F2" s="88" t="s">
        <v>115</v>
      </c>
      <c r="G2" s="89" t="s">
        <v>3</v>
      </c>
      <c r="H2" s="88" t="s">
        <v>149</v>
      </c>
      <c r="I2" s="87">
        <v>0.27083333333333331</v>
      </c>
      <c r="J2" s="88" t="s">
        <v>128</v>
      </c>
      <c r="K2" s="89" t="s">
        <v>3</v>
      </c>
      <c r="L2" s="88" t="s">
        <v>154</v>
      </c>
      <c r="N2" s="1" t="s">
        <v>155</v>
      </c>
      <c r="O2" s="1" t="s">
        <v>156</v>
      </c>
      <c r="P2" s="1" t="s">
        <v>157</v>
      </c>
    </row>
    <row r="3" spans="1:16" ht="54.6" customHeight="1" x14ac:dyDescent="0.3">
      <c r="A3" s="87">
        <v>0.28125</v>
      </c>
      <c r="B3" s="88" t="s">
        <v>4</v>
      </c>
      <c r="C3" s="89" t="s">
        <v>3</v>
      </c>
      <c r="D3" s="88" t="s">
        <v>154</v>
      </c>
      <c r="E3" s="87">
        <v>0.28125</v>
      </c>
      <c r="F3" s="88" t="s">
        <v>115</v>
      </c>
      <c r="G3" s="89" t="s">
        <v>3</v>
      </c>
      <c r="H3" s="88" t="s">
        <v>153</v>
      </c>
      <c r="I3" s="87">
        <v>0.28125</v>
      </c>
      <c r="J3" s="88" t="s">
        <v>128</v>
      </c>
      <c r="K3" s="89" t="s">
        <v>3</v>
      </c>
      <c r="L3" s="88" t="s">
        <v>149</v>
      </c>
    </row>
    <row r="4" spans="1:16" ht="54.6" customHeight="1" x14ac:dyDescent="0.3">
      <c r="A4" s="87">
        <v>0.29166666666666702</v>
      </c>
      <c r="B4" s="88" t="s">
        <v>4</v>
      </c>
      <c r="C4" s="89" t="s">
        <v>3</v>
      </c>
      <c r="D4" s="88" t="s">
        <v>149</v>
      </c>
      <c r="E4" s="87">
        <v>0.29166666666666702</v>
      </c>
      <c r="F4" s="88" t="s">
        <v>115</v>
      </c>
      <c r="G4" s="89" t="s">
        <v>3</v>
      </c>
      <c r="H4" s="88" t="s">
        <v>154</v>
      </c>
      <c r="I4" s="87">
        <v>0.29166666666666702</v>
      </c>
      <c r="J4" s="88" t="s">
        <v>128</v>
      </c>
      <c r="K4" s="89" t="s">
        <v>3</v>
      </c>
      <c r="L4" s="88" t="s">
        <v>153</v>
      </c>
    </row>
    <row r="5" spans="1:16" ht="54.6" customHeight="1" x14ac:dyDescent="0.3">
      <c r="A5" s="137" t="s">
        <v>1</v>
      </c>
      <c r="B5" s="137"/>
      <c r="C5" s="137"/>
      <c r="D5" s="137"/>
      <c r="E5" s="137" t="s">
        <v>0</v>
      </c>
      <c r="F5" s="137"/>
      <c r="G5" s="137"/>
      <c r="H5" s="137"/>
      <c r="I5" s="137" t="s">
        <v>2</v>
      </c>
      <c r="J5" s="137"/>
      <c r="K5" s="137"/>
      <c r="L5" s="137"/>
    </row>
    <row r="6" spans="1:16" ht="54.6" customHeight="1" x14ac:dyDescent="0.3">
      <c r="A6" s="87">
        <v>0.30208333333333298</v>
      </c>
      <c r="B6" s="88" t="s">
        <v>121</v>
      </c>
      <c r="C6" s="89" t="s">
        <v>3</v>
      </c>
      <c r="D6" s="88" t="s">
        <v>124</v>
      </c>
      <c r="E6" s="87">
        <v>0.30208333333333298</v>
      </c>
      <c r="F6" s="88" t="s">
        <v>145</v>
      </c>
      <c r="G6" s="89" t="s">
        <v>3</v>
      </c>
      <c r="H6" s="88" t="s">
        <v>148</v>
      </c>
      <c r="I6" s="87">
        <v>0.30208333333333298</v>
      </c>
      <c r="J6" s="88" t="s">
        <v>152</v>
      </c>
      <c r="K6" s="89" t="s">
        <v>3</v>
      </c>
      <c r="L6" s="88" t="s">
        <v>150</v>
      </c>
      <c r="N6" s="85" t="s">
        <v>133</v>
      </c>
      <c r="O6" s="85" t="s">
        <v>5</v>
      </c>
      <c r="P6" s="85" t="s">
        <v>128</v>
      </c>
    </row>
    <row r="7" spans="1:16" ht="54.6" customHeight="1" x14ac:dyDescent="0.3">
      <c r="A7" s="87">
        <v>0.3125</v>
      </c>
      <c r="B7" s="88" t="s">
        <v>121</v>
      </c>
      <c r="C7" s="89" t="s">
        <v>3</v>
      </c>
      <c r="D7" s="88" t="s">
        <v>150</v>
      </c>
      <c r="E7" s="87">
        <v>0.3125</v>
      </c>
      <c r="F7" s="88" t="s">
        <v>145</v>
      </c>
      <c r="G7" s="89" t="s">
        <v>3</v>
      </c>
      <c r="H7" s="88" t="s">
        <v>124</v>
      </c>
      <c r="I7" s="87">
        <v>0.3125</v>
      </c>
      <c r="J7" s="88" t="s">
        <v>152</v>
      </c>
      <c r="K7" s="89" t="s">
        <v>3</v>
      </c>
      <c r="L7" s="88" t="s">
        <v>148</v>
      </c>
      <c r="N7" s="85" t="s">
        <v>121</v>
      </c>
      <c r="O7" s="85" t="s">
        <v>115</v>
      </c>
      <c r="P7" s="85" t="s">
        <v>130</v>
      </c>
    </row>
    <row r="8" spans="1:16" ht="54.6" customHeight="1" x14ac:dyDescent="0.3">
      <c r="A8" s="87">
        <v>0.32291666666666702</v>
      </c>
      <c r="B8" s="88" t="s">
        <v>121</v>
      </c>
      <c r="C8" s="89" t="s">
        <v>3</v>
      </c>
      <c r="D8" s="88" t="s">
        <v>148</v>
      </c>
      <c r="E8" s="87">
        <v>0.32291666666666702</v>
      </c>
      <c r="F8" s="88" t="s">
        <v>145</v>
      </c>
      <c r="G8" s="89" t="s">
        <v>3</v>
      </c>
      <c r="H8" s="88" t="s">
        <v>150</v>
      </c>
      <c r="I8" s="87">
        <v>0.32291666666666702</v>
      </c>
      <c r="J8" s="88" t="s">
        <v>152</v>
      </c>
      <c r="K8" s="89" t="s">
        <v>3</v>
      </c>
      <c r="L8" s="88" t="s">
        <v>124</v>
      </c>
      <c r="N8" s="85" t="s">
        <v>4</v>
      </c>
      <c r="O8" s="85" t="s">
        <v>145</v>
      </c>
      <c r="P8" s="86" t="s">
        <v>150</v>
      </c>
    </row>
    <row r="9" spans="1:16" ht="54.6" customHeight="1" x14ac:dyDescent="0.3">
      <c r="A9" s="137" t="s">
        <v>1</v>
      </c>
      <c r="B9" s="137"/>
      <c r="C9" s="137"/>
      <c r="D9" s="137"/>
      <c r="E9" s="137" t="s">
        <v>0</v>
      </c>
      <c r="F9" s="137"/>
      <c r="G9" s="137"/>
      <c r="H9" s="137"/>
      <c r="I9" s="137" t="s">
        <v>2</v>
      </c>
      <c r="J9" s="137"/>
      <c r="K9" s="137"/>
      <c r="L9" s="137"/>
      <c r="N9" s="86" t="s">
        <v>124</v>
      </c>
      <c r="O9" s="85" t="s">
        <v>152</v>
      </c>
      <c r="P9" s="86" t="s">
        <v>148</v>
      </c>
    </row>
    <row r="10" spans="1:16" ht="54.6" customHeight="1" x14ac:dyDescent="0.3">
      <c r="A10" s="87">
        <v>0.33333333333333298</v>
      </c>
      <c r="B10" s="88" t="s">
        <v>133</v>
      </c>
      <c r="C10" s="89" t="s">
        <v>3</v>
      </c>
      <c r="D10" s="88" t="s">
        <v>147</v>
      </c>
      <c r="E10" s="87">
        <v>0.33333333333333298</v>
      </c>
      <c r="F10" s="88" t="s">
        <v>5</v>
      </c>
      <c r="G10" s="89" t="s">
        <v>3</v>
      </c>
      <c r="H10" s="88" t="s">
        <v>151</v>
      </c>
      <c r="I10" s="87">
        <v>0.33333333333333298</v>
      </c>
      <c r="J10" s="88" t="s">
        <v>130</v>
      </c>
      <c r="K10" s="89" t="s">
        <v>3</v>
      </c>
      <c r="L10" s="88" t="s">
        <v>146</v>
      </c>
      <c r="N10" s="86" t="s">
        <v>149</v>
      </c>
      <c r="O10" s="86" t="s">
        <v>147</v>
      </c>
    </row>
    <row r="11" spans="1:16" ht="54.6" customHeight="1" x14ac:dyDescent="0.3">
      <c r="A11" s="87">
        <v>0.343750000000002</v>
      </c>
      <c r="B11" s="88" t="s">
        <v>133</v>
      </c>
      <c r="C11" s="89" t="s">
        <v>3</v>
      </c>
      <c r="D11" s="88" t="s">
        <v>146</v>
      </c>
      <c r="E11" s="87">
        <v>0.343750000000002</v>
      </c>
      <c r="F11" s="88" t="s">
        <v>5</v>
      </c>
      <c r="G11" s="89" t="s">
        <v>3</v>
      </c>
      <c r="H11" s="88" t="s">
        <v>147</v>
      </c>
      <c r="I11" s="87">
        <v>0.343750000000002</v>
      </c>
      <c r="J11" s="88" t="s">
        <v>130</v>
      </c>
      <c r="K11" s="89" t="s">
        <v>3</v>
      </c>
      <c r="L11" s="88" t="s">
        <v>151</v>
      </c>
      <c r="N11" s="86" t="s">
        <v>153</v>
      </c>
      <c r="O11" s="86" t="s">
        <v>146</v>
      </c>
      <c r="P11" s="83"/>
    </row>
    <row r="12" spans="1:16" ht="54.6" customHeight="1" x14ac:dyDescent="0.3">
      <c r="A12" s="87">
        <v>0.35416666666666902</v>
      </c>
      <c r="B12" s="88" t="s">
        <v>133</v>
      </c>
      <c r="C12" s="89" t="s">
        <v>3</v>
      </c>
      <c r="D12" s="88" t="s">
        <v>151</v>
      </c>
      <c r="E12" s="87">
        <v>0.35416666666666902</v>
      </c>
      <c r="F12" s="88" t="s">
        <v>5</v>
      </c>
      <c r="G12" s="89" t="s">
        <v>3</v>
      </c>
      <c r="H12" s="88" t="s">
        <v>146</v>
      </c>
      <c r="I12" s="87">
        <v>0.35416666666666902</v>
      </c>
      <c r="J12" s="88" t="s">
        <v>130</v>
      </c>
      <c r="K12" s="89" t="s">
        <v>3</v>
      </c>
      <c r="L12" s="88" t="s">
        <v>147</v>
      </c>
      <c r="N12" s="86" t="s">
        <v>154</v>
      </c>
      <c r="O12" s="86" t="s">
        <v>151</v>
      </c>
      <c r="P12" s="83"/>
    </row>
  </sheetData>
  <mergeCells count="9">
    <mergeCell ref="A9:D9"/>
    <mergeCell ref="E9:H9"/>
    <mergeCell ref="I9:L9"/>
    <mergeCell ref="I1:L1"/>
    <mergeCell ref="A1:D1"/>
    <mergeCell ref="E1:H1"/>
    <mergeCell ref="A5:D5"/>
    <mergeCell ref="E5:H5"/>
    <mergeCell ref="I5:L5"/>
  </mergeCells>
  <phoneticPr fontId="2" type="noConversion"/>
  <printOptions horizontalCentered="1" verticalCentered="1"/>
  <pageMargins left="0.25" right="0.25" top="0.75" bottom="0.75" header="0.3" footer="0.3"/>
  <pageSetup paperSize="9" orientation="portrait" r:id="rId1"/>
  <colBreaks count="2" manualBreakCount="2">
    <brk id="4" max="1048575" man="1"/>
    <brk id="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94635-A562-49C5-BE97-2DA40921B4EA}">
  <sheetPr codeName="Sheet1"/>
  <dimension ref="A1:L10"/>
  <sheetViews>
    <sheetView zoomScale="60" zoomScaleNormal="60" workbookViewId="0">
      <selection activeCell="D4" sqref="D4"/>
    </sheetView>
  </sheetViews>
  <sheetFormatPr defaultColWidth="9.109375" defaultRowHeight="69" customHeight="1" x14ac:dyDescent="0.3"/>
  <cols>
    <col min="1" max="1" width="11.109375" style="61" customWidth="1"/>
    <col min="2" max="2" width="26.109375" style="61" customWidth="1"/>
    <col min="3" max="3" width="12.44140625" style="61" customWidth="1"/>
    <col min="4" max="4" width="33.33203125" style="61" customWidth="1"/>
    <col min="5" max="5" width="13" style="61" customWidth="1"/>
    <col min="6" max="6" width="24.33203125" style="61" customWidth="1"/>
    <col min="7" max="7" width="11.5546875" style="61" customWidth="1"/>
    <col min="8" max="8" width="33.6640625" style="61" customWidth="1"/>
    <col min="9" max="9" width="14.33203125" style="61" customWidth="1"/>
    <col min="10" max="10" width="29.6640625" style="61" customWidth="1"/>
    <col min="11" max="11" width="12.44140625" style="61" customWidth="1"/>
    <col min="12" max="12" width="29.6640625" style="61" customWidth="1"/>
    <col min="13" max="16384" width="9.109375" style="61"/>
  </cols>
  <sheetData>
    <row r="1" spans="1:12" ht="69" customHeight="1" x14ac:dyDescent="0.3">
      <c r="A1" s="138" t="s">
        <v>1</v>
      </c>
      <c r="B1" s="138"/>
      <c r="C1" s="138"/>
      <c r="D1" s="138"/>
      <c r="E1" s="138" t="s">
        <v>0</v>
      </c>
      <c r="F1" s="138"/>
      <c r="G1" s="138"/>
      <c r="H1" s="138"/>
      <c r="I1" s="138" t="s">
        <v>2</v>
      </c>
      <c r="J1" s="138"/>
      <c r="K1" s="138"/>
      <c r="L1" s="138"/>
    </row>
    <row r="2" spans="1:12" ht="69" customHeight="1" x14ac:dyDescent="0.3">
      <c r="A2" s="59">
        <v>0.27083333333333331</v>
      </c>
      <c r="B2" s="58" t="s">
        <v>115</v>
      </c>
      <c r="C2" s="60" t="s">
        <v>3</v>
      </c>
      <c r="D2" s="58" t="s">
        <v>125</v>
      </c>
      <c r="E2" s="59">
        <v>0.27083333333333331</v>
      </c>
      <c r="F2" s="58" t="s">
        <v>127</v>
      </c>
      <c r="G2" s="60" t="s">
        <v>3</v>
      </c>
      <c r="H2" s="58" t="s">
        <v>129</v>
      </c>
      <c r="I2" s="59">
        <v>0.27083333333333331</v>
      </c>
      <c r="J2" s="58" t="s">
        <v>130</v>
      </c>
      <c r="K2" s="60" t="s">
        <v>3</v>
      </c>
      <c r="L2" s="58" t="s">
        <v>116</v>
      </c>
    </row>
    <row r="3" spans="1:12" ht="69" customHeight="1" x14ac:dyDescent="0.3">
      <c r="A3" s="59">
        <v>0.27777777777777779</v>
      </c>
      <c r="B3" s="58" t="s">
        <v>115</v>
      </c>
      <c r="C3" s="60" t="s">
        <v>3</v>
      </c>
      <c r="D3" s="58" t="s">
        <v>126</v>
      </c>
      <c r="E3" s="59">
        <v>0.27777777777777779</v>
      </c>
      <c r="F3" s="58" t="s">
        <v>127</v>
      </c>
      <c r="G3" s="60" t="s">
        <v>3</v>
      </c>
      <c r="H3" s="58" t="s">
        <v>125</v>
      </c>
      <c r="I3" s="59">
        <v>0.27777777777777779</v>
      </c>
      <c r="J3" s="58" t="s">
        <v>130</v>
      </c>
      <c r="K3" s="60" t="s">
        <v>3</v>
      </c>
      <c r="L3" s="58" t="s">
        <v>129</v>
      </c>
    </row>
    <row r="4" spans="1:12" ht="69" customHeight="1" x14ac:dyDescent="0.3">
      <c r="A4" s="59">
        <v>0.28472222222222221</v>
      </c>
      <c r="B4" s="58" t="s">
        <v>115</v>
      </c>
      <c r="C4" s="60" t="s">
        <v>3</v>
      </c>
      <c r="D4" s="58" t="s">
        <v>116</v>
      </c>
      <c r="E4" s="59">
        <v>0.28472222222222221</v>
      </c>
      <c r="F4" s="58" t="s">
        <v>127</v>
      </c>
      <c r="G4" s="60" t="s">
        <v>3</v>
      </c>
      <c r="H4" s="58" t="s">
        <v>126</v>
      </c>
      <c r="I4" s="59">
        <v>0.28472222222222221</v>
      </c>
      <c r="J4" s="58" t="s">
        <v>130</v>
      </c>
      <c r="K4" s="60" t="s">
        <v>3</v>
      </c>
      <c r="L4" s="58" t="s">
        <v>125</v>
      </c>
    </row>
    <row r="5" spans="1:12" ht="69" customHeight="1" x14ac:dyDescent="0.3">
      <c r="A5" s="59">
        <v>0.29166666666666669</v>
      </c>
      <c r="B5" s="58" t="s">
        <v>115</v>
      </c>
      <c r="C5" s="60" t="s">
        <v>3</v>
      </c>
      <c r="D5" s="58" t="s">
        <v>129</v>
      </c>
      <c r="E5" s="59">
        <v>0.29166666666666669</v>
      </c>
      <c r="F5" s="58" t="s">
        <v>127</v>
      </c>
      <c r="G5" s="60" t="s">
        <v>3</v>
      </c>
      <c r="H5" s="58" t="s">
        <v>116</v>
      </c>
      <c r="I5" s="59">
        <v>0.29166666666666669</v>
      </c>
      <c r="J5" s="58" t="s">
        <v>130</v>
      </c>
      <c r="K5" s="60" t="s">
        <v>3</v>
      </c>
      <c r="L5" s="58" t="s">
        <v>126</v>
      </c>
    </row>
    <row r="6" spans="1:12" ht="69" customHeight="1" x14ac:dyDescent="0.3">
      <c r="A6" s="138" t="s">
        <v>1</v>
      </c>
      <c r="B6" s="138"/>
      <c r="C6" s="138"/>
      <c r="D6" s="138"/>
      <c r="E6" s="138" t="s">
        <v>0</v>
      </c>
      <c r="F6" s="138"/>
      <c r="G6" s="138"/>
      <c r="H6" s="138"/>
      <c r="I6" s="138" t="s">
        <v>2</v>
      </c>
      <c r="J6" s="138"/>
      <c r="K6" s="138"/>
      <c r="L6" s="138"/>
    </row>
    <row r="7" spans="1:12" ht="69" customHeight="1" x14ac:dyDescent="0.3">
      <c r="A7" s="59">
        <v>0.3125</v>
      </c>
      <c r="B7" s="58" t="s">
        <v>5</v>
      </c>
      <c r="C7" s="60" t="s">
        <v>3</v>
      </c>
      <c r="D7" s="58" t="s">
        <v>128</v>
      </c>
      <c r="E7" s="59">
        <v>0.3125</v>
      </c>
      <c r="F7" s="58" t="s">
        <v>132</v>
      </c>
      <c r="G7" s="60" t="s">
        <v>3</v>
      </c>
      <c r="H7" s="59" t="s">
        <v>124</v>
      </c>
      <c r="I7" s="59">
        <v>0.3125</v>
      </c>
      <c r="J7" s="58" t="s">
        <v>131</v>
      </c>
      <c r="K7" s="60" t="s">
        <v>3</v>
      </c>
      <c r="L7" s="58" t="s">
        <v>123</v>
      </c>
    </row>
    <row r="8" spans="1:12" ht="69" customHeight="1" x14ac:dyDescent="0.3">
      <c r="A8" s="59">
        <v>0.31944444444444442</v>
      </c>
      <c r="B8" s="58" t="s">
        <v>5</v>
      </c>
      <c r="C8" s="60" t="s">
        <v>3</v>
      </c>
      <c r="D8" s="58" t="s">
        <v>122</v>
      </c>
      <c r="E8" s="59">
        <v>0.31944444444444442</v>
      </c>
      <c r="F8" s="58" t="s">
        <v>132</v>
      </c>
      <c r="G8" s="60" t="s">
        <v>3</v>
      </c>
      <c r="H8" s="58" t="s">
        <v>128</v>
      </c>
      <c r="I8" s="59">
        <v>0.31944444444444442</v>
      </c>
      <c r="J8" s="58" t="s">
        <v>131</v>
      </c>
      <c r="K8" s="60" t="s">
        <v>3</v>
      </c>
      <c r="L8" s="59" t="s">
        <v>124</v>
      </c>
    </row>
    <row r="9" spans="1:12" ht="69" customHeight="1" x14ac:dyDescent="0.3">
      <c r="A9" s="59">
        <v>0.3263888888888889</v>
      </c>
      <c r="B9" s="58" t="s">
        <v>5</v>
      </c>
      <c r="C9" s="60" t="s">
        <v>3</v>
      </c>
      <c r="D9" s="58" t="s">
        <v>123</v>
      </c>
      <c r="E9" s="59">
        <v>0.3263888888888889</v>
      </c>
      <c r="F9" s="58" t="s">
        <v>132</v>
      </c>
      <c r="G9" s="60" t="s">
        <v>3</v>
      </c>
      <c r="H9" s="58" t="s">
        <v>122</v>
      </c>
      <c r="I9" s="59">
        <v>0.3263888888888889</v>
      </c>
      <c r="J9" s="58" t="s">
        <v>131</v>
      </c>
      <c r="K9" s="60" t="s">
        <v>3</v>
      </c>
      <c r="L9" s="58" t="s">
        <v>128</v>
      </c>
    </row>
    <row r="10" spans="1:12" ht="69" customHeight="1" x14ac:dyDescent="0.3">
      <c r="A10" s="59">
        <v>0.33333333333333331</v>
      </c>
      <c r="B10" s="59" t="s">
        <v>5</v>
      </c>
      <c r="C10" s="60" t="s">
        <v>3</v>
      </c>
      <c r="D10" s="59" t="s">
        <v>124</v>
      </c>
      <c r="E10" s="59">
        <v>0.33333333333333331</v>
      </c>
      <c r="F10" s="58" t="s">
        <v>132</v>
      </c>
      <c r="G10" s="60" t="s">
        <v>3</v>
      </c>
      <c r="H10" s="59" t="s">
        <v>123</v>
      </c>
      <c r="I10" s="59">
        <v>0.33333333333333331</v>
      </c>
      <c r="J10" s="58" t="s">
        <v>131</v>
      </c>
      <c r="K10" s="60" t="s">
        <v>3</v>
      </c>
      <c r="L10" s="58" t="s">
        <v>122</v>
      </c>
    </row>
  </sheetData>
  <sortState xmlns:xlrd2="http://schemas.microsoft.com/office/spreadsheetml/2017/richdata2" ref="W2:W9">
    <sortCondition ref="W2:W9"/>
  </sortState>
  <mergeCells count="6">
    <mergeCell ref="A1:D1"/>
    <mergeCell ref="E1:H1"/>
    <mergeCell ref="I1:L1"/>
    <mergeCell ref="A6:D6"/>
    <mergeCell ref="E6:H6"/>
    <mergeCell ref="I6:L6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8EFD9-170C-4CA3-A7A2-ED0ED59C3A9D}">
  <sheetPr codeName="Sheet5"/>
  <dimension ref="A1:Y98"/>
  <sheetViews>
    <sheetView topLeftCell="G19" workbookViewId="0">
      <selection activeCell="W32" sqref="W32:Y37"/>
    </sheetView>
  </sheetViews>
  <sheetFormatPr defaultColWidth="8.88671875" defaultRowHeight="14.4" x14ac:dyDescent="0.3"/>
  <cols>
    <col min="1" max="1" width="18.5546875" style="42" bestFit="1" customWidth="1"/>
    <col min="2" max="2" width="7.5546875" style="42" bestFit="1" customWidth="1"/>
    <col min="3" max="5" width="6.6640625" style="1" customWidth="1"/>
    <col min="6" max="6" width="7.5546875" style="1" customWidth="1"/>
    <col min="7" max="16" width="6.6640625" style="1" customWidth="1"/>
    <col min="17" max="17" width="10.6640625" style="1" customWidth="1"/>
    <col min="18" max="18" width="8.33203125" style="1" customWidth="1"/>
    <col min="19" max="19" width="8.88671875" style="1"/>
    <col min="20" max="20" width="8.88671875" style="57"/>
    <col min="21" max="21" width="8.88671875" style="70"/>
    <col min="22" max="22" width="22.33203125" style="42" customWidth="1"/>
    <col min="23" max="23" width="8.88671875" style="66"/>
    <col min="24" max="24" width="8.88671875" style="71"/>
    <col min="25" max="25" width="21" style="42" customWidth="1"/>
    <col min="26" max="16384" width="8.88671875" style="42"/>
  </cols>
  <sheetData>
    <row r="1" spans="1:25" ht="14.7" customHeight="1" x14ac:dyDescent="0.3">
      <c r="A1" s="3" t="s">
        <v>117</v>
      </c>
      <c r="B1" s="3"/>
      <c r="C1" s="5" t="s">
        <v>33</v>
      </c>
      <c r="D1" s="5" t="s">
        <v>34</v>
      </c>
      <c r="E1" s="5" t="s">
        <v>35</v>
      </c>
      <c r="F1" s="5" t="s">
        <v>36</v>
      </c>
      <c r="G1" s="5" t="s">
        <v>37</v>
      </c>
      <c r="H1" s="5" t="s">
        <v>38</v>
      </c>
      <c r="I1" s="5" t="s">
        <v>39</v>
      </c>
      <c r="J1" s="5" t="s">
        <v>40</v>
      </c>
      <c r="K1" s="5" t="s">
        <v>41</v>
      </c>
      <c r="L1" s="5" t="s">
        <v>42</v>
      </c>
      <c r="M1" s="5" t="s">
        <v>43</v>
      </c>
      <c r="N1" s="5" t="s">
        <v>44</v>
      </c>
      <c r="O1" s="5" t="s">
        <v>45</v>
      </c>
      <c r="P1" s="5" t="s">
        <v>46</v>
      </c>
      <c r="Q1" s="5" t="s">
        <v>93</v>
      </c>
      <c r="R1" s="5" t="s">
        <v>47</v>
      </c>
      <c r="T1" s="139" t="s">
        <v>98</v>
      </c>
      <c r="U1" s="140"/>
      <c r="V1" s="140"/>
      <c r="W1" s="140"/>
      <c r="X1" s="140"/>
      <c r="Y1" s="141"/>
    </row>
    <row r="2" spans="1:25" x14ac:dyDescent="0.3">
      <c r="A2" s="24" t="s">
        <v>179</v>
      </c>
      <c r="B2" s="24" t="s">
        <v>96</v>
      </c>
      <c r="C2" s="25">
        <f t="shared" ref="C2:P2" si="0">IF(C3=0,0,IF(C3="WOF",3,IF(C3="LOF",0,IF(C3="F",0,IF(C3&gt;C4,3,IF(C3=C4,2,IF(C3&lt;C4,1,"Error")))))))</f>
        <v>3</v>
      </c>
      <c r="D2" s="25">
        <f t="shared" si="0"/>
        <v>3</v>
      </c>
      <c r="E2" s="25">
        <f t="shared" si="0"/>
        <v>3</v>
      </c>
      <c r="F2" s="25">
        <f t="shared" si="0"/>
        <v>3</v>
      </c>
      <c r="G2" s="25">
        <f t="shared" si="0"/>
        <v>3</v>
      </c>
      <c r="H2" s="25">
        <f t="shared" si="0"/>
        <v>3</v>
      </c>
      <c r="I2" s="25">
        <f t="shared" si="0"/>
        <v>3</v>
      </c>
      <c r="J2" s="25">
        <f t="shared" si="0"/>
        <v>3</v>
      </c>
      <c r="K2" s="25">
        <f t="shared" si="0"/>
        <v>3</v>
      </c>
      <c r="L2" s="25">
        <f t="shared" si="0"/>
        <v>0</v>
      </c>
      <c r="M2" s="25">
        <f t="shared" si="0"/>
        <v>3</v>
      </c>
      <c r="N2" s="25">
        <f t="shared" si="0"/>
        <v>3</v>
      </c>
      <c r="O2" s="25">
        <f t="shared" si="0"/>
        <v>3</v>
      </c>
      <c r="P2" s="25">
        <f t="shared" si="0"/>
        <v>1</v>
      </c>
      <c r="Q2" s="25"/>
      <c r="R2" s="25">
        <f>SUM(C2:P2)-Q2</f>
        <v>37</v>
      </c>
      <c r="T2" s="55" t="s">
        <v>96</v>
      </c>
      <c r="U2" s="69" t="s">
        <v>97</v>
      </c>
      <c r="V2" s="3" t="str">
        <f>A1</f>
        <v>Mixed A Grade</v>
      </c>
      <c r="W2" s="67" t="s">
        <v>96</v>
      </c>
      <c r="X2" s="67" t="s">
        <v>97</v>
      </c>
      <c r="Y2" s="67" t="s">
        <v>117</v>
      </c>
    </row>
    <row r="3" spans="1:25" x14ac:dyDescent="0.3">
      <c r="A3" s="2"/>
      <c r="B3" s="2" t="s">
        <v>94</v>
      </c>
      <c r="C3" s="6">
        <v>72</v>
      </c>
      <c r="D3" s="6" t="s">
        <v>171</v>
      </c>
      <c r="E3" s="6">
        <v>47</v>
      </c>
      <c r="F3" s="6">
        <v>71</v>
      </c>
      <c r="G3" s="6">
        <v>57</v>
      </c>
      <c r="H3" s="6">
        <v>58</v>
      </c>
      <c r="I3" s="6">
        <v>50</v>
      </c>
      <c r="J3" s="6">
        <v>66</v>
      </c>
      <c r="K3" s="6" t="s">
        <v>171</v>
      </c>
      <c r="L3" s="6" t="s">
        <v>254</v>
      </c>
      <c r="M3" s="6" t="s">
        <v>253</v>
      </c>
      <c r="N3" s="6">
        <v>63</v>
      </c>
      <c r="O3" s="6">
        <v>58</v>
      </c>
      <c r="P3" s="6">
        <v>20</v>
      </c>
      <c r="Q3" s="6">
        <f>SUM(C3:P3)</f>
        <v>562</v>
      </c>
      <c r="R3" s="7">
        <f>Q3/Q4</f>
        <v>1.6726190476190477</v>
      </c>
      <c r="T3" s="56">
        <f>R2</f>
        <v>37</v>
      </c>
      <c r="U3" s="7">
        <f>R3</f>
        <v>1.6726190476190477</v>
      </c>
      <c r="V3" s="2" t="str">
        <f>A2</f>
        <v>Back In The Day</v>
      </c>
      <c r="W3" s="56">
        <v>40</v>
      </c>
      <c r="X3" s="7">
        <v>1.7439353099730459</v>
      </c>
      <c r="Y3" s="2" t="s">
        <v>121</v>
      </c>
    </row>
    <row r="4" spans="1:25" x14ac:dyDescent="0.3">
      <c r="A4" s="2"/>
      <c r="B4" s="2" t="s">
        <v>95</v>
      </c>
      <c r="C4" s="6">
        <v>20</v>
      </c>
      <c r="D4" s="6"/>
      <c r="E4" s="6">
        <v>40</v>
      </c>
      <c r="F4" s="6">
        <v>23</v>
      </c>
      <c r="G4" s="6">
        <v>46</v>
      </c>
      <c r="H4" s="6">
        <v>36</v>
      </c>
      <c r="I4" s="6">
        <v>29</v>
      </c>
      <c r="J4" s="6">
        <v>20</v>
      </c>
      <c r="K4" s="6"/>
      <c r="L4" s="6"/>
      <c r="M4" s="6"/>
      <c r="N4" s="6">
        <v>39</v>
      </c>
      <c r="O4" s="6">
        <v>41</v>
      </c>
      <c r="P4" s="6">
        <v>42</v>
      </c>
      <c r="Q4" s="6">
        <f>SUM(C4:P4)</f>
        <v>336</v>
      </c>
      <c r="R4" s="6"/>
      <c r="T4" s="56">
        <f>R5</f>
        <v>22</v>
      </c>
      <c r="U4" s="7">
        <f>R6</f>
        <v>0.78805970149253735</v>
      </c>
      <c r="V4" s="2" t="str">
        <f>A5</f>
        <v>Ballz Deep</v>
      </c>
      <c r="W4" s="56">
        <v>37</v>
      </c>
      <c r="X4" s="7">
        <v>1.6726190476190477</v>
      </c>
      <c r="Y4" s="2" t="s">
        <v>179</v>
      </c>
    </row>
    <row r="5" spans="1:25" x14ac:dyDescent="0.3">
      <c r="A5" s="24" t="s">
        <v>133</v>
      </c>
      <c r="B5" s="24" t="s">
        <v>96</v>
      </c>
      <c r="C5" s="25">
        <f t="shared" ref="C5:P5" si="1">IF(C6=0,0,IF(C6="WOF",3,IF(C6="LOF",0,IF(C6="F",0,IF(C6&gt;C7,3,IF(C6=C7,2,IF(C6&lt;C7,1,"Error")))))))</f>
        <v>3</v>
      </c>
      <c r="D5" s="25">
        <f t="shared" si="1"/>
        <v>1</v>
      </c>
      <c r="E5" s="25">
        <f t="shared" si="1"/>
        <v>3</v>
      </c>
      <c r="F5" s="25">
        <f t="shared" si="1"/>
        <v>1</v>
      </c>
      <c r="G5" s="25">
        <f t="shared" si="1"/>
        <v>1</v>
      </c>
      <c r="H5" s="25">
        <f t="shared" si="1"/>
        <v>1</v>
      </c>
      <c r="I5" s="25">
        <f t="shared" si="1"/>
        <v>1</v>
      </c>
      <c r="J5" s="25">
        <f t="shared" si="1"/>
        <v>1</v>
      </c>
      <c r="K5" s="25">
        <f t="shared" si="1"/>
        <v>1</v>
      </c>
      <c r="L5" s="25">
        <f t="shared" si="1"/>
        <v>3</v>
      </c>
      <c r="M5" s="25">
        <f t="shared" si="1"/>
        <v>1</v>
      </c>
      <c r="N5" s="25">
        <f t="shared" si="1"/>
        <v>3</v>
      </c>
      <c r="O5" s="25">
        <f t="shared" si="1"/>
        <v>1</v>
      </c>
      <c r="P5" s="25">
        <f t="shared" si="1"/>
        <v>1</v>
      </c>
      <c r="Q5" s="25"/>
      <c r="R5" s="25">
        <f>SUM(C5:P5)-Q5</f>
        <v>22</v>
      </c>
      <c r="T5" s="56">
        <f>R8</f>
        <v>40</v>
      </c>
      <c r="U5" s="7">
        <f>R9</f>
        <v>1.7439353099730459</v>
      </c>
      <c r="V5" s="2" t="str">
        <f>A8</f>
        <v>Chewblockers</v>
      </c>
      <c r="W5" s="56">
        <v>30</v>
      </c>
      <c r="X5" s="7">
        <v>0.91650485436893203</v>
      </c>
      <c r="Y5" s="2" t="s">
        <v>124</v>
      </c>
    </row>
    <row r="6" spans="1:25" x14ac:dyDescent="0.3">
      <c r="A6" s="2"/>
      <c r="B6" s="2" t="s">
        <v>94</v>
      </c>
      <c r="C6" s="6">
        <v>58</v>
      </c>
      <c r="D6" s="6">
        <v>53</v>
      </c>
      <c r="E6" s="6" t="s">
        <v>171</v>
      </c>
      <c r="F6" s="6">
        <v>31</v>
      </c>
      <c r="G6" s="6">
        <v>38</v>
      </c>
      <c r="H6" s="6">
        <v>36</v>
      </c>
      <c r="I6" s="6">
        <v>51</v>
      </c>
      <c r="J6" s="6">
        <v>47</v>
      </c>
      <c r="K6" s="6">
        <v>49</v>
      </c>
      <c r="L6" s="6" t="s">
        <v>171</v>
      </c>
      <c r="M6" s="6">
        <v>26</v>
      </c>
      <c r="N6" s="6">
        <v>59</v>
      </c>
      <c r="O6" s="6">
        <v>41</v>
      </c>
      <c r="P6" s="6">
        <v>39</v>
      </c>
      <c r="Q6" s="6">
        <f>SUM(C6:P6)</f>
        <v>528</v>
      </c>
      <c r="R6" s="7">
        <f>Q6/Q7</f>
        <v>0.78805970149253735</v>
      </c>
      <c r="T6" s="56">
        <f>R11</f>
        <v>28</v>
      </c>
      <c r="U6" s="7">
        <f>R12</f>
        <v>0.9273927392739274</v>
      </c>
      <c r="V6" s="2" t="str">
        <f>A11</f>
        <v>Dunlop Volley</v>
      </c>
      <c r="W6" s="56">
        <v>28</v>
      </c>
      <c r="X6" s="7">
        <v>0.9273927392739274</v>
      </c>
      <c r="Y6" s="2" t="s">
        <v>4</v>
      </c>
    </row>
    <row r="7" spans="1:25" x14ac:dyDescent="0.3">
      <c r="A7" s="2"/>
      <c r="B7" s="2" t="s">
        <v>95</v>
      </c>
      <c r="C7" s="6">
        <v>50</v>
      </c>
      <c r="D7" s="6">
        <v>54</v>
      </c>
      <c r="E7" s="6"/>
      <c r="F7" s="6">
        <v>73</v>
      </c>
      <c r="G7" s="6">
        <v>48</v>
      </c>
      <c r="H7" s="6">
        <v>58</v>
      </c>
      <c r="I7" s="6">
        <v>61</v>
      </c>
      <c r="J7" s="6">
        <v>50</v>
      </c>
      <c r="K7" s="6">
        <v>77</v>
      </c>
      <c r="L7" s="6"/>
      <c r="M7" s="6">
        <v>48</v>
      </c>
      <c r="N7" s="6">
        <v>39</v>
      </c>
      <c r="O7" s="6">
        <v>58</v>
      </c>
      <c r="P7" s="6">
        <v>54</v>
      </c>
      <c r="Q7" s="6">
        <f>SUM(C7:P7)</f>
        <v>670</v>
      </c>
      <c r="R7" s="6"/>
      <c r="T7" s="56">
        <f>R14</f>
        <v>24</v>
      </c>
      <c r="U7" s="7">
        <f>R15</f>
        <v>0.71764705882352942</v>
      </c>
      <c r="V7" s="2" t="str">
        <f>A14</f>
        <v>Fitroy Rebels</v>
      </c>
      <c r="W7" s="56">
        <v>27</v>
      </c>
      <c r="X7" s="7">
        <v>0.80474452554744524</v>
      </c>
      <c r="Y7" s="2" t="s">
        <v>154</v>
      </c>
    </row>
    <row r="8" spans="1:25" x14ac:dyDescent="0.3">
      <c r="A8" s="24" t="s">
        <v>121</v>
      </c>
      <c r="B8" s="24" t="s">
        <v>96</v>
      </c>
      <c r="C8" s="25">
        <f t="shared" ref="C8:P8" si="2">IF(C9=0,0,IF(C9="WOF",3,IF(C9="LOF",0,IF(C9="F",0,IF(C9&gt;C10,3,IF(C9=C10,2,IF(C9&lt;C10,1,"Error")))))))</f>
        <v>3</v>
      </c>
      <c r="D8" s="25">
        <f t="shared" si="2"/>
        <v>3</v>
      </c>
      <c r="E8" s="25">
        <f t="shared" si="2"/>
        <v>3</v>
      </c>
      <c r="F8" s="25">
        <f t="shared" si="2"/>
        <v>3</v>
      </c>
      <c r="G8" s="25">
        <f t="shared" si="2"/>
        <v>3</v>
      </c>
      <c r="H8" s="25">
        <f t="shared" si="2"/>
        <v>3</v>
      </c>
      <c r="I8" s="25">
        <f t="shared" si="2"/>
        <v>1</v>
      </c>
      <c r="J8" s="25">
        <f t="shared" si="2"/>
        <v>3</v>
      </c>
      <c r="K8" s="25">
        <f t="shared" si="2"/>
        <v>3</v>
      </c>
      <c r="L8" s="25">
        <f t="shared" si="2"/>
        <v>3</v>
      </c>
      <c r="M8" s="25">
        <f t="shared" si="2"/>
        <v>3</v>
      </c>
      <c r="N8" s="25">
        <f t="shared" si="2"/>
        <v>3</v>
      </c>
      <c r="O8" s="25">
        <f t="shared" si="2"/>
        <v>3</v>
      </c>
      <c r="P8" s="25">
        <f t="shared" si="2"/>
        <v>3</v>
      </c>
      <c r="Q8" s="25"/>
      <c r="R8" s="25">
        <f>SUM(C8:P8)-Q8</f>
        <v>40</v>
      </c>
      <c r="T8" s="56">
        <f>R17</f>
        <v>27</v>
      </c>
      <c r="U8" s="7">
        <f>R18</f>
        <v>0.80474452554744524</v>
      </c>
      <c r="V8" s="2" t="str">
        <f>A17</f>
        <v>Pan Set</v>
      </c>
      <c r="W8" s="56">
        <v>24</v>
      </c>
      <c r="X8" s="7">
        <v>0.71764705882352942</v>
      </c>
      <c r="Y8" s="2" t="s">
        <v>180</v>
      </c>
    </row>
    <row r="9" spans="1:25" x14ac:dyDescent="0.3">
      <c r="A9" s="2"/>
      <c r="B9" s="2" t="s">
        <v>94</v>
      </c>
      <c r="C9" s="6">
        <v>44</v>
      </c>
      <c r="D9" s="6">
        <v>51</v>
      </c>
      <c r="E9" s="6">
        <v>53</v>
      </c>
      <c r="F9" s="6">
        <v>73</v>
      </c>
      <c r="G9" s="6" t="s">
        <v>171</v>
      </c>
      <c r="H9" s="6">
        <v>73</v>
      </c>
      <c r="I9" s="6">
        <v>29</v>
      </c>
      <c r="J9" s="6">
        <v>65</v>
      </c>
      <c r="K9" s="6">
        <v>62</v>
      </c>
      <c r="L9" s="6">
        <v>67</v>
      </c>
      <c r="M9" s="6">
        <v>48</v>
      </c>
      <c r="N9" s="6" t="s">
        <v>171</v>
      </c>
      <c r="O9" s="6">
        <v>40</v>
      </c>
      <c r="P9" s="6">
        <v>42</v>
      </c>
      <c r="Q9" s="6">
        <f>SUM(C9:P9)</f>
        <v>647</v>
      </c>
      <c r="R9" s="7">
        <f>Q9/Q10</f>
        <v>1.7439353099730459</v>
      </c>
      <c r="T9" s="56">
        <f>R20</f>
        <v>30</v>
      </c>
      <c r="U9" s="7">
        <f>R21</f>
        <v>0.91650485436893203</v>
      </c>
      <c r="V9" s="2" t="str">
        <f>A20</f>
        <v>Practice Safe Sets</v>
      </c>
      <c r="W9" s="56">
        <v>22</v>
      </c>
      <c r="X9" s="7">
        <v>0.78805970149253735</v>
      </c>
      <c r="Y9" s="2" t="s">
        <v>133</v>
      </c>
    </row>
    <row r="10" spans="1:25" x14ac:dyDescent="0.3">
      <c r="A10" s="2"/>
      <c r="B10" s="2" t="s">
        <v>95</v>
      </c>
      <c r="C10" s="6">
        <v>42</v>
      </c>
      <c r="D10" s="6">
        <v>21</v>
      </c>
      <c r="E10" s="6">
        <v>39</v>
      </c>
      <c r="F10" s="6">
        <v>31</v>
      </c>
      <c r="G10" s="6"/>
      <c r="H10" s="6">
        <v>20</v>
      </c>
      <c r="I10" s="6">
        <v>50</v>
      </c>
      <c r="J10" s="6">
        <v>34</v>
      </c>
      <c r="K10" s="6">
        <v>22</v>
      </c>
      <c r="L10" s="6">
        <v>30</v>
      </c>
      <c r="M10" s="6">
        <v>26</v>
      </c>
      <c r="N10" s="6"/>
      <c r="O10" s="6">
        <v>36</v>
      </c>
      <c r="P10" s="6">
        <v>20</v>
      </c>
      <c r="Q10" s="6">
        <f>SUM(C10:P10)</f>
        <v>371</v>
      </c>
      <c r="R10" s="6"/>
      <c r="T10" s="55" t="s">
        <v>96</v>
      </c>
      <c r="U10" s="69" t="s">
        <v>97</v>
      </c>
      <c r="V10" s="3" t="str">
        <f>A23</f>
        <v>Mixed B Grade</v>
      </c>
      <c r="W10" s="67" t="s">
        <v>96</v>
      </c>
      <c r="X10" s="67" t="s">
        <v>97</v>
      </c>
      <c r="Y10" s="67" t="s">
        <v>118</v>
      </c>
    </row>
    <row r="11" spans="1:25" x14ac:dyDescent="0.3">
      <c r="A11" s="24" t="s">
        <v>4</v>
      </c>
      <c r="B11" s="24" t="s">
        <v>96</v>
      </c>
      <c r="C11" s="25">
        <f t="shared" ref="C11:P11" si="3">IF(C12=0,0,IF(C12="WOF",3,IF(C12="LOF",0,IF(C12="F",0,IF(C12&gt;C13,3,IF(C12=C13,2,IF(C12&lt;C13,1,"Error")))))))</f>
        <v>3</v>
      </c>
      <c r="D11" s="25">
        <f t="shared" si="3"/>
        <v>3</v>
      </c>
      <c r="E11" s="25">
        <f t="shared" si="3"/>
        <v>1</v>
      </c>
      <c r="F11" s="25">
        <f t="shared" si="3"/>
        <v>3</v>
      </c>
      <c r="G11" s="25">
        <f t="shared" si="3"/>
        <v>1</v>
      </c>
      <c r="H11" s="25">
        <f t="shared" si="3"/>
        <v>1</v>
      </c>
      <c r="I11" s="25">
        <f t="shared" si="3"/>
        <v>1</v>
      </c>
      <c r="J11" s="25">
        <f t="shared" si="3"/>
        <v>3</v>
      </c>
      <c r="K11" s="25">
        <f t="shared" si="3"/>
        <v>3</v>
      </c>
      <c r="L11" s="25">
        <f t="shared" si="3"/>
        <v>1</v>
      </c>
      <c r="M11" s="25">
        <f t="shared" si="3"/>
        <v>3</v>
      </c>
      <c r="N11" s="25">
        <f t="shared" si="3"/>
        <v>1</v>
      </c>
      <c r="O11" s="25">
        <f t="shared" si="3"/>
        <v>1</v>
      </c>
      <c r="P11" s="25">
        <f t="shared" si="3"/>
        <v>3</v>
      </c>
      <c r="Q11" s="25"/>
      <c r="R11" s="25">
        <f>SUM(C11:P11)-Q11</f>
        <v>28</v>
      </c>
      <c r="T11" s="56">
        <f>R24</f>
        <v>24</v>
      </c>
      <c r="U11" s="7">
        <f>R25</f>
        <v>0.80623973727422005</v>
      </c>
      <c r="V11" s="2" t="str">
        <f>A24</f>
        <v>Ball Slappers</v>
      </c>
      <c r="W11" s="68">
        <v>40</v>
      </c>
      <c r="X11" s="7">
        <v>1.5838641188959661</v>
      </c>
      <c r="Y11" s="2" t="s">
        <v>151</v>
      </c>
    </row>
    <row r="12" spans="1:25" x14ac:dyDescent="0.3">
      <c r="A12" s="2"/>
      <c r="B12" s="2" t="s">
        <v>94</v>
      </c>
      <c r="C12" s="6" t="s">
        <v>171</v>
      </c>
      <c r="D12" s="6">
        <v>54</v>
      </c>
      <c r="E12" s="6">
        <v>39</v>
      </c>
      <c r="F12" s="6">
        <v>41</v>
      </c>
      <c r="G12" s="6">
        <v>46</v>
      </c>
      <c r="H12" s="6">
        <v>43</v>
      </c>
      <c r="I12" s="6">
        <v>41</v>
      </c>
      <c r="J12" s="6" t="s">
        <v>171</v>
      </c>
      <c r="K12" s="6">
        <v>77</v>
      </c>
      <c r="L12" s="6">
        <v>30</v>
      </c>
      <c r="M12" s="6">
        <v>52</v>
      </c>
      <c r="N12" s="6">
        <v>39</v>
      </c>
      <c r="O12" s="6">
        <v>41</v>
      </c>
      <c r="P12" s="6">
        <v>59</v>
      </c>
      <c r="Q12" s="6">
        <f>SUM(C12:P12)</f>
        <v>562</v>
      </c>
      <c r="R12" s="7">
        <f>Q12/Q13</f>
        <v>0.9273927392739274</v>
      </c>
      <c r="T12" s="56">
        <f>R27</f>
        <v>20</v>
      </c>
      <c r="U12" s="7">
        <f>R28</f>
        <v>0.6457800511508951</v>
      </c>
      <c r="V12" s="2" t="str">
        <f>A27</f>
        <v>Bull Spikers</v>
      </c>
      <c r="W12" s="68">
        <v>36</v>
      </c>
      <c r="X12" s="7">
        <v>1.3965183752417796</v>
      </c>
      <c r="Y12" s="2" t="s">
        <v>182</v>
      </c>
    </row>
    <row r="13" spans="1:25" x14ac:dyDescent="0.3">
      <c r="A13" s="2"/>
      <c r="B13" s="2" t="s">
        <v>95</v>
      </c>
      <c r="C13" s="6"/>
      <c r="D13" s="6">
        <v>53</v>
      </c>
      <c r="E13" s="6">
        <v>53</v>
      </c>
      <c r="F13" s="6">
        <v>39</v>
      </c>
      <c r="G13" s="6">
        <v>57</v>
      </c>
      <c r="H13" s="6">
        <v>45</v>
      </c>
      <c r="I13" s="6">
        <v>58</v>
      </c>
      <c r="J13" s="6"/>
      <c r="K13" s="6">
        <v>49</v>
      </c>
      <c r="L13" s="6">
        <v>67</v>
      </c>
      <c r="M13" s="6">
        <v>43</v>
      </c>
      <c r="N13" s="6">
        <v>63</v>
      </c>
      <c r="O13" s="6">
        <v>49</v>
      </c>
      <c r="P13" s="6">
        <v>30</v>
      </c>
      <c r="Q13" s="6">
        <f>SUM(C13:P13)</f>
        <v>606</v>
      </c>
      <c r="R13" s="6"/>
      <c r="T13" s="56">
        <f>R30</f>
        <v>36</v>
      </c>
      <c r="U13" s="7">
        <f>R31</f>
        <v>1.3965183752417796</v>
      </c>
      <c r="V13" s="2" t="str">
        <f>A30</f>
        <v>Diggin It</v>
      </c>
      <c r="W13" s="68">
        <v>32</v>
      </c>
      <c r="X13" s="7">
        <v>1.1571164510166358</v>
      </c>
      <c r="Y13" s="2" t="s">
        <v>184</v>
      </c>
    </row>
    <row r="14" spans="1:25" x14ac:dyDescent="0.3">
      <c r="A14" s="24" t="s">
        <v>180</v>
      </c>
      <c r="B14" s="24" t="s">
        <v>96</v>
      </c>
      <c r="C14" s="25">
        <f t="shared" ref="C14:P14" si="4">IF(C15=0,0,IF(C15="WOF",3,IF(C15="LOF",0,IF(C15="F",0,IF(C15&gt;C16,3,IF(C15=C16,2,IF(C15&lt;C16,1,"Error")))))))</f>
        <v>1</v>
      </c>
      <c r="D14" s="25">
        <f t="shared" si="4"/>
        <v>3</v>
      </c>
      <c r="E14" s="25">
        <f t="shared" si="4"/>
        <v>1</v>
      </c>
      <c r="F14" s="25">
        <f t="shared" si="4"/>
        <v>1</v>
      </c>
      <c r="G14" s="25">
        <f t="shared" si="4"/>
        <v>3</v>
      </c>
      <c r="H14" s="25">
        <f t="shared" si="4"/>
        <v>1</v>
      </c>
      <c r="I14" s="25">
        <f t="shared" si="4"/>
        <v>3</v>
      </c>
      <c r="J14" s="25">
        <f t="shared" si="4"/>
        <v>1</v>
      </c>
      <c r="K14" s="25">
        <f t="shared" si="4"/>
        <v>1</v>
      </c>
      <c r="L14" s="25">
        <f t="shared" si="4"/>
        <v>3</v>
      </c>
      <c r="M14" s="25">
        <f t="shared" si="4"/>
        <v>1</v>
      </c>
      <c r="N14" s="25">
        <f t="shared" si="4"/>
        <v>1</v>
      </c>
      <c r="O14" s="25">
        <f t="shared" si="4"/>
        <v>1</v>
      </c>
      <c r="P14" s="25">
        <f t="shared" si="4"/>
        <v>3</v>
      </c>
      <c r="Q14" s="25"/>
      <c r="R14" s="25">
        <f>SUM(C14:P14)-Q14</f>
        <v>24</v>
      </c>
      <c r="T14" s="56">
        <f>R33</f>
        <v>26</v>
      </c>
      <c r="U14" s="7">
        <f>R34</f>
        <v>0.72688477951635844</v>
      </c>
      <c r="V14" s="2" t="str">
        <f>A33</f>
        <v>Family</v>
      </c>
      <c r="W14" s="68">
        <v>32</v>
      </c>
      <c r="X14" s="7">
        <v>1.0351170568561874</v>
      </c>
      <c r="Y14" s="2" t="s">
        <v>183</v>
      </c>
    </row>
    <row r="15" spans="1:25" x14ac:dyDescent="0.3">
      <c r="A15" s="2"/>
      <c r="B15" s="2" t="s">
        <v>94</v>
      </c>
      <c r="C15" s="6">
        <v>20</v>
      </c>
      <c r="D15" s="6">
        <v>44</v>
      </c>
      <c r="E15" s="6">
        <v>38</v>
      </c>
      <c r="F15" s="6">
        <v>39</v>
      </c>
      <c r="G15" s="6">
        <v>48</v>
      </c>
      <c r="H15" s="6">
        <v>20</v>
      </c>
      <c r="I15" s="6" t="s">
        <v>171</v>
      </c>
      <c r="J15" s="6">
        <v>20</v>
      </c>
      <c r="K15" s="6">
        <v>35</v>
      </c>
      <c r="L15" s="6">
        <v>47</v>
      </c>
      <c r="M15" s="6">
        <v>43</v>
      </c>
      <c r="N15" s="6">
        <v>39</v>
      </c>
      <c r="O15" s="6">
        <v>34</v>
      </c>
      <c r="P15" s="6" t="s">
        <v>171</v>
      </c>
      <c r="Q15" s="6">
        <f>SUM(C15:P15)</f>
        <v>427</v>
      </c>
      <c r="R15" s="7">
        <f>Q15/Q16</f>
        <v>0.71764705882352942</v>
      </c>
      <c r="T15" s="56">
        <f>R36</f>
        <v>32</v>
      </c>
      <c r="U15" s="7">
        <f>R37</f>
        <v>1.0351170568561874</v>
      </c>
      <c r="V15" s="2" t="str">
        <f>A36</f>
        <v>Fitroy Ferals</v>
      </c>
      <c r="W15" s="68">
        <v>26</v>
      </c>
      <c r="X15" s="7">
        <v>0.72688477951635844</v>
      </c>
      <c r="Y15" s="2" t="s">
        <v>115</v>
      </c>
    </row>
    <row r="16" spans="1:25" x14ac:dyDescent="0.3">
      <c r="A16" s="2"/>
      <c r="B16" s="2" t="s">
        <v>95</v>
      </c>
      <c r="C16" s="6">
        <v>72</v>
      </c>
      <c r="D16" s="6">
        <v>34</v>
      </c>
      <c r="E16" s="6">
        <v>47</v>
      </c>
      <c r="F16" s="6">
        <v>41</v>
      </c>
      <c r="G16" s="6">
        <v>38</v>
      </c>
      <c r="H16" s="6">
        <v>73</v>
      </c>
      <c r="I16" s="6"/>
      <c r="J16" s="6">
        <v>66</v>
      </c>
      <c r="K16" s="6">
        <v>39</v>
      </c>
      <c r="L16" s="6">
        <v>34</v>
      </c>
      <c r="M16" s="6">
        <v>52</v>
      </c>
      <c r="N16" s="6">
        <v>59</v>
      </c>
      <c r="O16" s="6">
        <v>40</v>
      </c>
      <c r="P16" s="6"/>
      <c r="Q16" s="6">
        <f>SUM(C16:P16)</f>
        <v>595</v>
      </c>
      <c r="R16" s="6"/>
      <c r="T16" s="56">
        <f>R39</f>
        <v>32</v>
      </c>
      <c r="U16" s="7">
        <f>R40</f>
        <v>1.1571164510166358</v>
      </c>
      <c r="V16" s="2" t="str">
        <f>A39</f>
        <v>Fitroy Freaks</v>
      </c>
      <c r="W16" s="68">
        <v>24</v>
      </c>
      <c r="X16" s="7">
        <v>0.80623973727422005</v>
      </c>
      <c r="Y16" s="2" t="s">
        <v>152</v>
      </c>
    </row>
    <row r="17" spans="1:25" x14ac:dyDescent="0.3">
      <c r="A17" s="24" t="s">
        <v>154</v>
      </c>
      <c r="B17" s="24" t="s">
        <v>96</v>
      </c>
      <c r="C17" s="25">
        <f t="shared" ref="C17:P17" si="5">IF(C18=0,0,IF(C18="WOF",3,IF(C18="LOF",0,IF(C18="F",0,IF(C18&gt;C19,3,IF(C18=C19,2,IF(C18&lt;C19,1,"Error")))))))</f>
        <v>1</v>
      </c>
      <c r="D17" s="25">
        <f t="shared" si="5"/>
        <v>1</v>
      </c>
      <c r="E17" s="25">
        <f t="shared" si="5"/>
        <v>3</v>
      </c>
      <c r="F17" s="25">
        <f t="shared" si="5"/>
        <v>1</v>
      </c>
      <c r="G17" s="25">
        <f t="shared" si="5"/>
        <v>3</v>
      </c>
      <c r="H17" s="25">
        <f t="shared" si="5"/>
        <v>3</v>
      </c>
      <c r="I17" s="25">
        <f t="shared" si="5"/>
        <v>3</v>
      </c>
      <c r="J17" s="25">
        <f t="shared" si="5"/>
        <v>3</v>
      </c>
      <c r="K17" s="25">
        <f t="shared" si="5"/>
        <v>1</v>
      </c>
      <c r="L17" s="25">
        <f t="shared" si="5"/>
        <v>1</v>
      </c>
      <c r="M17" s="25">
        <f t="shared" si="5"/>
        <v>0</v>
      </c>
      <c r="N17" s="25">
        <f t="shared" si="5"/>
        <v>3</v>
      </c>
      <c r="O17" s="25">
        <f t="shared" si="5"/>
        <v>3</v>
      </c>
      <c r="P17" s="25">
        <f t="shared" si="5"/>
        <v>1</v>
      </c>
      <c r="Q17" s="25"/>
      <c r="R17" s="25">
        <f>SUM(C17:P17)-Q17</f>
        <v>27</v>
      </c>
      <c r="T17" s="56">
        <f>R42</f>
        <v>40</v>
      </c>
      <c r="U17" s="7">
        <f>R43</f>
        <v>1.5838641188959661</v>
      </c>
      <c r="V17" s="2" t="str">
        <f>A42</f>
        <v>No Diggity</v>
      </c>
      <c r="W17" s="68">
        <v>20</v>
      </c>
      <c r="X17" s="7">
        <v>0.6457800511508951</v>
      </c>
      <c r="Y17" s="2" t="s">
        <v>181</v>
      </c>
    </row>
    <row r="18" spans="1:25" x14ac:dyDescent="0.3">
      <c r="A18" s="2"/>
      <c r="B18" s="2" t="s">
        <v>94</v>
      </c>
      <c r="C18" s="6">
        <v>50</v>
      </c>
      <c r="D18" s="6">
        <v>21</v>
      </c>
      <c r="E18" s="6">
        <v>47</v>
      </c>
      <c r="F18" s="6">
        <v>23</v>
      </c>
      <c r="G18" s="6">
        <v>48</v>
      </c>
      <c r="H18" s="6" t="s">
        <v>171</v>
      </c>
      <c r="I18" s="6">
        <v>58</v>
      </c>
      <c r="J18" s="6">
        <v>50</v>
      </c>
      <c r="K18" s="6">
        <v>22</v>
      </c>
      <c r="L18" s="6">
        <v>34</v>
      </c>
      <c r="M18" s="6" t="s">
        <v>254</v>
      </c>
      <c r="N18" s="6">
        <v>58</v>
      </c>
      <c r="O18" s="6" t="s">
        <v>171</v>
      </c>
      <c r="P18" s="6">
        <v>30</v>
      </c>
      <c r="Q18" s="6">
        <f>SUM(C18:P18)</f>
        <v>441</v>
      </c>
      <c r="R18" s="7">
        <f>Q18/Q19</f>
        <v>0.80474452554744524</v>
      </c>
      <c r="T18" s="55" t="s">
        <v>96</v>
      </c>
      <c r="U18" s="69" t="s">
        <v>97</v>
      </c>
      <c r="V18" s="3" t="str">
        <f>A45</f>
        <v>Mixed C Grade</v>
      </c>
      <c r="W18" s="67" t="s">
        <v>96</v>
      </c>
      <c r="X18" s="67" t="s">
        <v>97</v>
      </c>
      <c r="Y18" s="67" t="s">
        <v>185</v>
      </c>
    </row>
    <row r="19" spans="1:25" x14ac:dyDescent="0.3">
      <c r="A19" s="2"/>
      <c r="B19" s="2" t="s">
        <v>95</v>
      </c>
      <c r="C19" s="6">
        <v>58</v>
      </c>
      <c r="D19" s="6">
        <v>51</v>
      </c>
      <c r="E19" s="6">
        <v>38</v>
      </c>
      <c r="F19" s="6">
        <v>71</v>
      </c>
      <c r="G19" s="6">
        <v>31</v>
      </c>
      <c r="H19" s="6"/>
      <c r="I19" s="6">
        <v>41</v>
      </c>
      <c r="J19" s="6">
        <v>47</v>
      </c>
      <c r="K19" s="6">
        <v>62</v>
      </c>
      <c r="L19" s="6">
        <v>47</v>
      </c>
      <c r="M19" s="6"/>
      <c r="N19" s="6">
        <v>43</v>
      </c>
      <c r="O19" s="6"/>
      <c r="P19" s="6">
        <v>59</v>
      </c>
      <c r="Q19" s="6">
        <f>SUM(C19:P19)</f>
        <v>548</v>
      </c>
      <c r="R19" s="6"/>
      <c r="T19" s="56">
        <f>R46</f>
        <v>31</v>
      </c>
      <c r="U19" s="7">
        <f>R47</f>
        <v>1.2152173913043478</v>
      </c>
      <c r="V19" s="2" t="str">
        <f>A46</f>
        <v>Aceholes</v>
      </c>
      <c r="W19" s="56">
        <v>34</v>
      </c>
      <c r="X19" s="7">
        <v>1.3371335504885993</v>
      </c>
      <c r="Y19" s="2" t="s">
        <v>128</v>
      </c>
    </row>
    <row r="20" spans="1:25" x14ac:dyDescent="0.3">
      <c r="A20" s="24" t="s">
        <v>124</v>
      </c>
      <c r="B20" s="24" t="s">
        <v>96</v>
      </c>
      <c r="C20" s="25">
        <f t="shared" ref="C20:P20" si="6">IF(C21=0,0,IF(C21="WOF",3,IF(C21="LOF",0,IF(C21="F",0,IF(C21&gt;C22,3,IF(C21=C22,2,IF(C21&lt;C22,1,"Error")))))))</f>
        <v>1</v>
      </c>
      <c r="D20" s="25">
        <f t="shared" si="6"/>
        <v>1</v>
      </c>
      <c r="E20" s="25">
        <f t="shared" si="6"/>
        <v>1</v>
      </c>
      <c r="F20" s="25">
        <f t="shared" si="6"/>
        <v>3</v>
      </c>
      <c r="G20" s="25">
        <f t="shared" si="6"/>
        <v>1</v>
      </c>
      <c r="H20" s="25">
        <f t="shared" si="6"/>
        <v>3</v>
      </c>
      <c r="I20" s="25">
        <f t="shared" si="6"/>
        <v>3</v>
      </c>
      <c r="J20" s="25">
        <f t="shared" si="6"/>
        <v>1</v>
      </c>
      <c r="K20" s="25">
        <f t="shared" si="6"/>
        <v>3</v>
      </c>
      <c r="L20" s="25">
        <f t="shared" si="6"/>
        <v>3</v>
      </c>
      <c r="M20" s="25">
        <f t="shared" si="6"/>
        <v>3</v>
      </c>
      <c r="N20" s="25">
        <f t="shared" si="6"/>
        <v>1</v>
      </c>
      <c r="O20" s="25">
        <f t="shared" si="6"/>
        <v>3</v>
      </c>
      <c r="P20" s="25">
        <f t="shared" si="6"/>
        <v>3</v>
      </c>
      <c r="Q20" s="25"/>
      <c r="R20" s="25">
        <f>SUM(C20:P20)-Q20</f>
        <v>30</v>
      </c>
      <c r="T20" s="56">
        <f>R49</f>
        <v>30</v>
      </c>
      <c r="U20" s="7">
        <f>R50</f>
        <v>1.1419457735247209</v>
      </c>
      <c r="V20" s="2" t="str">
        <f>A49</f>
        <v>CANT</v>
      </c>
      <c r="W20" s="56">
        <v>31</v>
      </c>
      <c r="X20" s="7">
        <v>1.2152173913043478</v>
      </c>
      <c r="Y20" s="2" t="s">
        <v>176</v>
      </c>
    </row>
    <row r="21" spans="1:25" x14ac:dyDescent="0.3">
      <c r="A21" s="2"/>
      <c r="B21" s="2" t="s">
        <v>94</v>
      </c>
      <c r="C21" s="6">
        <v>42</v>
      </c>
      <c r="D21" s="6">
        <v>34</v>
      </c>
      <c r="E21" s="6">
        <v>40</v>
      </c>
      <c r="F21" s="6" t="s">
        <v>171</v>
      </c>
      <c r="G21" s="6">
        <v>31</v>
      </c>
      <c r="H21" s="6">
        <v>45</v>
      </c>
      <c r="I21" s="6">
        <v>61</v>
      </c>
      <c r="J21" s="6">
        <v>34</v>
      </c>
      <c r="K21" s="6">
        <v>39</v>
      </c>
      <c r="L21" s="6" t="s">
        <v>253</v>
      </c>
      <c r="M21" s="6" t="s">
        <v>171</v>
      </c>
      <c r="N21" s="6">
        <v>43</v>
      </c>
      <c r="O21" s="6">
        <v>49</v>
      </c>
      <c r="P21" s="6">
        <v>54</v>
      </c>
      <c r="Q21" s="6">
        <f>SUM(C21:P21)</f>
        <v>472</v>
      </c>
      <c r="R21" s="7">
        <f>Q21/Q22</f>
        <v>0.91650485436893203</v>
      </c>
      <c r="T21" s="56">
        <f>R52</f>
        <v>24</v>
      </c>
      <c r="U21" s="7">
        <f>R53</f>
        <v>0.75810810810810814</v>
      </c>
      <c r="V21" s="2" t="str">
        <f>A52</f>
        <v>Fitroy Rejects</v>
      </c>
      <c r="W21" s="56">
        <v>30</v>
      </c>
      <c r="X21" s="7">
        <v>1.1419457735247209</v>
      </c>
      <c r="Y21" s="2" t="s">
        <v>150</v>
      </c>
    </row>
    <row r="22" spans="1:25" x14ac:dyDescent="0.3">
      <c r="A22" s="2"/>
      <c r="B22" s="2" t="s">
        <v>95</v>
      </c>
      <c r="C22" s="6">
        <v>44</v>
      </c>
      <c r="D22" s="6">
        <v>44</v>
      </c>
      <c r="E22" s="6">
        <v>47</v>
      </c>
      <c r="F22" s="6"/>
      <c r="G22" s="6">
        <v>48</v>
      </c>
      <c r="H22" s="6">
        <v>43</v>
      </c>
      <c r="I22" s="6">
        <v>51</v>
      </c>
      <c r="J22" s="6">
        <v>65</v>
      </c>
      <c r="K22" s="6">
        <v>35</v>
      </c>
      <c r="L22" s="6"/>
      <c r="M22" s="6"/>
      <c r="N22" s="6">
        <v>58</v>
      </c>
      <c r="O22" s="6">
        <v>41</v>
      </c>
      <c r="P22" s="6">
        <v>39</v>
      </c>
      <c r="Q22" s="6">
        <f>SUM(C22:P22)</f>
        <v>515</v>
      </c>
      <c r="R22" s="6"/>
      <c r="T22" s="56">
        <f>R55</f>
        <v>34</v>
      </c>
      <c r="U22" s="7">
        <f>R56</f>
        <v>1.3371335504885993</v>
      </c>
      <c r="V22" s="2" t="str">
        <f>A55</f>
        <v>Netflicks</v>
      </c>
      <c r="W22" s="56">
        <v>27</v>
      </c>
      <c r="X22" s="7">
        <v>0.97339593114240996</v>
      </c>
      <c r="Y22" s="2" t="s">
        <v>5</v>
      </c>
    </row>
    <row r="23" spans="1:25" x14ac:dyDescent="0.3">
      <c r="A23" s="3" t="s">
        <v>118</v>
      </c>
      <c r="B23" s="3"/>
      <c r="C23" s="5" t="s">
        <v>33</v>
      </c>
      <c r="D23" s="5" t="s">
        <v>34</v>
      </c>
      <c r="E23" s="5" t="s">
        <v>35</v>
      </c>
      <c r="F23" s="5" t="s">
        <v>36</v>
      </c>
      <c r="G23" s="5" t="s">
        <v>37</v>
      </c>
      <c r="H23" s="5" t="s">
        <v>38</v>
      </c>
      <c r="I23" s="5" t="s">
        <v>39</v>
      </c>
      <c r="J23" s="5" t="s">
        <v>40</v>
      </c>
      <c r="K23" s="5" t="s">
        <v>41</v>
      </c>
      <c r="L23" s="5" t="s">
        <v>42</v>
      </c>
      <c r="M23" s="5" t="s">
        <v>43</v>
      </c>
      <c r="N23" s="5" t="s">
        <v>44</v>
      </c>
      <c r="O23" s="5" t="s">
        <v>45</v>
      </c>
      <c r="P23" s="5" t="s">
        <v>46</v>
      </c>
      <c r="Q23" s="5" t="s">
        <v>93</v>
      </c>
      <c r="R23" s="5" t="s">
        <v>47</v>
      </c>
      <c r="T23" s="56">
        <f>R58</f>
        <v>14</v>
      </c>
      <c r="U23" s="7">
        <f>R59</f>
        <v>0.71469329529243941</v>
      </c>
      <c r="V23" s="2" t="str">
        <f>A58</f>
        <v>That's What She Set</v>
      </c>
      <c r="W23" s="56">
        <v>24</v>
      </c>
      <c r="X23" s="7">
        <v>0.75810810810810814</v>
      </c>
      <c r="Y23" s="2" t="s">
        <v>186</v>
      </c>
    </row>
    <row r="24" spans="1:25" x14ac:dyDescent="0.3">
      <c r="A24" s="26" t="s">
        <v>152</v>
      </c>
      <c r="B24" s="24" t="s">
        <v>96</v>
      </c>
      <c r="C24" s="25">
        <f t="shared" ref="C24:P24" si="7">IF(C25=0,0,IF(C25="WOF",3,IF(C25="LOF",0,IF(C25="F",0,IF(C25&gt;C26,3,IF(C25=C26,2,IF(C25&lt;C26,1,"Error")))))))</f>
        <v>1</v>
      </c>
      <c r="D24" s="25">
        <f t="shared" si="7"/>
        <v>3</v>
      </c>
      <c r="E24" s="25">
        <f t="shared" si="7"/>
        <v>1</v>
      </c>
      <c r="F24" s="25">
        <f t="shared" si="7"/>
        <v>1</v>
      </c>
      <c r="G24" s="25">
        <f t="shared" si="7"/>
        <v>1</v>
      </c>
      <c r="H24" s="25">
        <f t="shared" si="7"/>
        <v>1</v>
      </c>
      <c r="I24" s="25">
        <f t="shared" si="7"/>
        <v>1</v>
      </c>
      <c r="J24" s="25">
        <f t="shared" si="7"/>
        <v>3</v>
      </c>
      <c r="K24" s="25">
        <f t="shared" si="7"/>
        <v>3</v>
      </c>
      <c r="L24" s="25">
        <f t="shared" si="7"/>
        <v>1</v>
      </c>
      <c r="M24" s="25">
        <f t="shared" si="7"/>
        <v>3</v>
      </c>
      <c r="N24" s="25">
        <f t="shared" si="7"/>
        <v>3</v>
      </c>
      <c r="O24" s="25">
        <f t="shared" si="7"/>
        <v>1</v>
      </c>
      <c r="P24" s="25">
        <f t="shared" si="7"/>
        <v>1</v>
      </c>
      <c r="Q24" s="25"/>
      <c r="R24" s="25">
        <f>SUM(C24:P24)-Q24</f>
        <v>24</v>
      </c>
      <c r="T24" s="56">
        <f>R61</f>
        <v>27</v>
      </c>
      <c r="U24" s="7">
        <f>R62</f>
        <v>0.97339593114240996</v>
      </c>
      <c r="V24" s="2" t="str">
        <f>A61</f>
        <v>Wilsons</v>
      </c>
      <c r="W24" s="56">
        <v>14</v>
      </c>
      <c r="X24" s="7">
        <v>0.71469329529243941</v>
      </c>
      <c r="Y24" s="2" t="s">
        <v>130</v>
      </c>
    </row>
    <row r="25" spans="1:25" x14ac:dyDescent="0.3">
      <c r="A25" s="4"/>
      <c r="B25" s="2" t="s">
        <v>94</v>
      </c>
      <c r="C25" s="6">
        <v>32</v>
      </c>
      <c r="D25" s="6" t="s">
        <v>171</v>
      </c>
      <c r="E25" s="6">
        <v>42</v>
      </c>
      <c r="F25" s="6">
        <v>39</v>
      </c>
      <c r="G25" s="6">
        <v>45</v>
      </c>
      <c r="H25" s="6">
        <v>27</v>
      </c>
      <c r="I25" s="6">
        <v>43</v>
      </c>
      <c r="J25" s="6">
        <v>51</v>
      </c>
      <c r="K25" s="6" t="s">
        <v>171</v>
      </c>
      <c r="L25" s="6">
        <v>37</v>
      </c>
      <c r="M25" s="6">
        <v>50</v>
      </c>
      <c r="N25" s="6">
        <v>54</v>
      </c>
      <c r="O25" s="6">
        <v>29</v>
      </c>
      <c r="P25" s="6">
        <v>42</v>
      </c>
      <c r="Q25" s="6">
        <f>SUM(C25:P25)</f>
        <v>491</v>
      </c>
      <c r="R25" s="7">
        <f>Q25/Q26</f>
        <v>0.80623973727422005</v>
      </c>
      <c r="T25" s="55" t="s">
        <v>96</v>
      </c>
      <c r="U25" s="69" t="s">
        <v>97</v>
      </c>
      <c r="V25" s="3" t="str">
        <f>A64</f>
        <v>Ladies</v>
      </c>
      <c r="W25" s="67" t="s">
        <v>96</v>
      </c>
      <c r="X25" s="67" t="s">
        <v>97</v>
      </c>
      <c r="Y25" s="67" t="s">
        <v>187</v>
      </c>
    </row>
    <row r="26" spans="1:25" x14ac:dyDescent="0.3">
      <c r="A26" s="4"/>
      <c r="B26" s="2" t="s">
        <v>95</v>
      </c>
      <c r="C26" s="6">
        <v>54</v>
      </c>
      <c r="D26" s="6"/>
      <c r="E26" s="6">
        <v>49</v>
      </c>
      <c r="F26" s="6">
        <v>49</v>
      </c>
      <c r="G26" s="6">
        <v>54</v>
      </c>
      <c r="H26" s="6">
        <v>66</v>
      </c>
      <c r="I26" s="6">
        <v>49</v>
      </c>
      <c r="J26" s="6">
        <v>29</v>
      </c>
      <c r="K26" s="6"/>
      <c r="L26" s="6">
        <v>45</v>
      </c>
      <c r="M26" s="6">
        <v>48</v>
      </c>
      <c r="N26" s="6">
        <v>43</v>
      </c>
      <c r="O26" s="6">
        <v>76</v>
      </c>
      <c r="P26" s="6">
        <v>47</v>
      </c>
      <c r="Q26" s="6">
        <f>SUM(C26:P26)</f>
        <v>609</v>
      </c>
      <c r="R26" s="6"/>
      <c r="T26" s="56">
        <f>R65</f>
        <v>20</v>
      </c>
      <c r="U26" s="7">
        <f>R66</f>
        <v>0.77512562814070352</v>
      </c>
      <c r="V26" s="2" t="str">
        <f>A65</f>
        <v>Easties 1</v>
      </c>
      <c r="W26" s="68">
        <v>42</v>
      </c>
      <c r="X26" s="7">
        <v>2.3470715835140998</v>
      </c>
      <c r="Y26" s="2" t="s">
        <v>168</v>
      </c>
    </row>
    <row r="27" spans="1:25" x14ac:dyDescent="0.3">
      <c r="A27" s="26" t="s">
        <v>181</v>
      </c>
      <c r="B27" s="24" t="s">
        <v>96</v>
      </c>
      <c r="C27" s="25">
        <f t="shared" ref="C27:P27" si="8">IF(C28=0,0,IF(C28="WOF",3,IF(C28="LOF",0,IF(C28="F",0,IF(C28&gt;C29,3,IF(C28=C29,2,IF(C28&lt;C29,1,"Error")))))))</f>
        <v>3</v>
      </c>
      <c r="D27" s="25">
        <f t="shared" si="8"/>
        <v>1</v>
      </c>
      <c r="E27" s="25">
        <f t="shared" si="8"/>
        <v>1</v>
      </c>
      <c r="F27" s="25">
        <f t="shared" si="8"/>
        <v>1</v>
      </c>
      <c r="G27" s="25">
        <f t="shared" si="8"/>
        <v>3</v>
      </c>
      <c r="H27" s="25">
        <f t="shared" si="8"/>
        <v>1</v>
      </c>
      <c r="I27" s="25">
        <f t="shared" si="8"/>
        <v>1</v>
      </c>
      <c r="J27" s="25">
        <f t="shared" si="8"/>
        <v>3</v>
      </c>
      <c r="K27" s="25">
        <f t="shared" si="8"/>
        <v>1</v>
      </c>
      <c r="L27" s="25">
        <f t="shared" si="8"/>
        <v>1</v>
      </c>
      <c r="M27" s="25">
        <f t="shared" si="8"/>
        <v>1</v>
      </c>
      <c r="N27" s="25">
        <f t="shared" si="8"/>
        <v>1</v>
      </c>
      <c r="O27" s="25">
        <f t="shared" si="8"/>
        <v>1</v>
      </c>
      <c r="P27" s="25">
        <f t="shared" si="8"/>
        <v>1</v>
      </c>
      <c r="Q27" s="25"/>
      <c r="R27" s="25">
        <f>SUM(C27:P27)-Q27</f>
        <v>20</v>
      </c>
      <c r="T27" s="56">
        <f>R68</f>
        <v>32</v>
      </c>
      <c r="U27" s="7">
        <f>R69</f>
        <v>1.1219158200290276</v>
      </c>
      <c r="V27" s="2" t="str">
        <f>A68</f>
        <v>Easties 2</v>
      </c>
      <c r="W27" s="68">
        <v>32</v>
      </c>
      <c r="X27" s="7">
        <v>1.1219158200290276</v>
      </c>
      <c r="Y27" s="2" t="s">
        <v>167</v>
      </c>
    </row>
    <row r="28" spans="1:25" x14ac:dyDescent="0.3">
      <c r="A28" s="4"/>
      <c r="B28" s="2" t="s">
        <v>94</v>
      </c>
      <c r="C28" s="6" t="s">
        <v>171</v>
      </c>
      <c r="D28" s="6">
        <v>33</v>
      </c>
      <c r="E28" s="6">
        <v>49</v>
      </c>
      <c r="F28" s="6">
        <v>34</v>
      </c>
      <c r="G28" s="6">
        <v>54</v>
      </c>
      <c r="H28" s="6">
        <v>24</v>
      </c>
      <c r="I28" s="6">
        <v>38</v>
      </c>
      <c r="J28" s="6" t="s">
        <v>171</v>
      </c>
      <c r="K28" s="6">
        <v>38</v>
      </c>
      <c r="L28" s="6">
        <v>48</v>
      </c>
      <c r="M28" s="6">
        <v>47</v>
      </c>
      <c r="N28" s="6">
        <v>43</v>
      </c>
      <c r="O28" s="6">
        <v>41</v>
      </c>
      <c r="P28" s="6">
        <v>56</v>
      </c>
      <c r="Q28" s="6">
        <f>SUM(C28:P28)</f>
        <v>505</v>
      </c>
      <c r="R28" s="7">
        <f>Q28/Q29</f>
        <v>0.6457800511508951</v>
      </c>
      <c r="T28" s="56">
        <f>R71</f>
        <v>22</v>
      </c>
      <c r="U28" s="7">
        <f>R72</f>
        <v>0.66262403528114666</v>
      </c>
      <c r="V28" s="2" t="str">
        <f>A71</f>
        <v>Juniors</v>
      </c>
      <c r="W28" s="68">
        <v>30</v>
      </c>
      <c r="X28" s="7">
        <v>0.979539641943734</v>
      </c>
      <c r="Y28" s="2" t="s">
        <v>174</v>
      </c>
    </row>
    <row r="29" spans="1:25" x14ac:dyDescent="0.3">
      <c r="A29" s="4"/>
      <c r="B29" s="2" t="s">
        <v>95</v>
      </c>
      <c r="C29" s="6"/>
      <c r="D29" s="6">
        <v>79</v>
      </c>
      <c r="E29" s="6">
        <v>50</v>
      </c>
      <c r="F29" s="6">
        <v>64</v>
      </c>
      <c r="G29" s="6">
        <v>45</v>
      </c>
      <c r="H29" s="6">
        <v>96</v>
      </c>
      <c r="I29" s="6">
        <v>72</v>
      </c>
      <c r="J29" s="6"/>
      <c r="K29" s="6">
        <v>73</v>
      </c>
      <c r="L29" s="6">
        <v>62</v>
      </c>
      <c r="M29" s="6">
        <v>50</v>
      </c>
      <c r="N29" s="6">
        <v>54</v>
      </c>
      <c r="O29" s="6">
        <v>80</v>
      </c>
      <c r="P29" s="6">
        <v>57</v>
      </c>
      <c r="Q29" s="6">
        <f>SUM(C29:P29)</f>
        <v>782</v>
      </c>
      <c r="R29" s="6"/>
      <c r="T29" s="56">
        <f>R74</f>
        <v>42</v>
      </c>
      <c r="U29" s="7">
        <f>R75</f>
        <v>2.3470715835140998</v>
      </c>
      <c r="V29" s="2" t="str">
        <f>A74</f>
        <v>Mixed Bag</v>
      </c>
      <c r="W29" s="68">
        <v>22</v>
      </c>
      <c r="X29" s="7">
        <v>0.75995449374288959</v>
      </c>
      <c r="Y29" s="2" t="s">
        <v>170</v>
      </c>
    </row>
    <row r="30" spans="1:25" x14ac:dyDescent="0.3">
      <c r="A30" s="26" t="s">
        <v>182</v>
      </c>
      <c r="B30" s="24" t="s">
        <v>96</v>
      </c>
      <c r="C30" s="25">
        <f t="shared" ref="C30:P30" si="9">IF(C31=0,0,IF(C31="WOF",3,IF(C31="LOF",0,IF(C31="F",0,IF(C31&gt;C32,3,IF(C31=C32,2,IF(C31&lt;C32,1,"Error")))))))</f>
        <v>3</v>
      </c>
      <c r="D30" s="25">
        <f t="shared" si="9"/>
        <v>3</v>
      </c>
      <c r="E30" s="25">
        <f t="shared" si="9"/>
        <v>3</v>
      </c>
      <c r="F30" s="25">
        <f t="shared" si="9"/>
        <v>3</v>
      </c>
      <c r="G30" s="25">
        <f t="shared" si="9"/>
        <v>3</v>
      </c>
      <c r="H30" s="25">
        <f t="shared" si="9"/>
        <v>3</v>
      </c>
      <c r="I30" s="25">
        <f t="shared" si="9"/>
        <v>1</v>
      </c>
      <c r="J30" s="25">
        <f t="shared" si="9"/>
        <v>3</v>
      </c>
      <c r="K30" s="25">
        <f t="shared" si="9"/>
        <v>3</v>
      </c>
      <c r="L30" s="25">
        <f t="shared" si="9"/>
        <v>3</v>
      </c>
      <c r="M30" s="25">
        <f t="shared" si="9"/>
        <v>3</v>
      </c>
      <c r="N30" s="25">
        <f t="shared" si="9"/>
        <v>1</v>
      </c>
      <c r="O30" s="25">
        <f t="shared" si="9"/>
        <v>3</v>
      </c>
      <c r="P30" s="25">
        <f t="shared" si="9"/>
        <v>1</v>
      </c>
      <c r="Q30" s="25"/>
      <c r="R30" s="25">
        <f>SUM(C30:P30)-Q30</f>
        <v>36</v>
      </c>
      <c r="T30" s="56">
        <f>R77</f>
        <v>30</v>
      </c>
      <c r="U30" s="7">
        <f>R78</f>
        <v>0.979539641943734</v>
      </c>
      <c r="V30" s="2" t="str">
        <f>A77</f>
        <v>Powerpuff Girls</v>
      </c>
      <c r="W30" s="68">
        <v>22</v>
      </c>
      <c r="X30" s="7">
        <v>0.66262403528114666</v>
      </c>
      <c r="Y30" s="2" t="s">
        <v>169</v>
      </c>
    </row>
    <row r="31" spans="1:25" x14ac:dyDescent="0.3">
      <c r="A31" s="4"/>
      <c r="B31" s="2" t="s">
        <v>94</v>
      </c>
      <c r="C31" s="6">
        <v>65</v>
      </c>
      <c r="D31" s="6">
        <v>79</v>
      </c>
      <c r="E31" s="6" t="s">
        <v>171</v>
      </c>
      <c r="F31" s="6">
        <v>68</v>
      </c>
      <c r="G31" s="6">
        <v>56</v>
      </c>
      <c r="H31" s="6">
        <v>66</v>
      </c>
      <c r="I31" s="6">
        <v>40</v>
      </c>
      <c r="J31" s="6">
        <v>73</v>
      </c>
      <c r="K31" s="6">
        <v>73</v>
      </c>
      <c r="L31" s="6" t="s">
        <v>171</v>
      </c>
      <c r="M31" s="6">
        <v>47</v>
      </c>
      <c r="N31" s="6">
        <v>33</v>
      </c>
      <c r="O31" s="6">
        <v>76</v>
      </c>
      <c r="P31" s="6">
        <v>46</v>
      </c>
      <c r="Q31" s="6">
        <f>SUM(C31:P31)</f>
        <v>722</v>
      </c>
      <c r="R31" s="7">
        <f>Q31/Q32</f>
        <v>1.3965183752417796</v>
      </c>
      <c r="T31" s="56">
        <f>R80</f>
        <v>22</v>
      </c>
      <c r="U31" s="7">
        <f>R81</f>
        <v>0.75995449374288959</v>
      </c>
      <c r="V31" s="2" t="str">
        <f>A80</f>
        <v>The Village</v>
      </c>
      <c r="W31" s="68">
        <v>20</v>
      </c>
      <c r="X31" s="7">
        <v>0.77512562814070352</v>
      </c>
      <c r="Y31" s="2" t="s">
        <v>166</v>
      </c>
    </row>
    <row r="32" spans="1:25" x14ac:dyDescent="0.3">
      <c r="A32" s="4"/>
      <c r="B32" s="2" t="s">
        <v>95</v>
      </c>
      <c r="C32" s="6">
        <v>47</v>
      </c>
      <c r="D32" s="6">
        <v>33</v>
      </c>
      <c r="E32" s="6"/>
      <c r="F32" s="6">
        <v>38</v>
      </c>
      <c r="G32" s="6">
        <v>48</v>
      </c>
      <c r="H32" s="6">
        <v>27</v>
      </c>
      <c r="I32" s="6">
        <v>55</v>
      </c>
      <c r="J32" s="6">
        <v>34</v>
      </c>
      <c r="K32" s="6">
        <v>38</v>
      </c>
      <c r="L32" s="6"/>
      <c r="M32" s="6">
        <v>31</v>
      </c>
      <c r="N32" s="6">
        <v>82</v>
      </c>
      <c r="O32" s="6">
        <v>29</v>
      </c>
      <c r="P32" s="6">
        <v>55</v>
      </c>
      <c r="Q32" s="6">
        <f>SUM(C32:P32)</f>
        <v>517</v>
      </c>
      <c r="R32" s="6"/>
      <c r="T32" s="55" t="s">
        <v>96</v>
      </c>
      <c r="U32" s="69" t="s">
        <v>97</v>
      </c>
      <c r="V32" s="3" t="str">
        <f>A83</f>
        <v>Mens</v>
      </c>
      <c r="W32" s="67" t="s">
        <v>96</v>
      </c>
      <c r="X32" s="67" t="s">
        <v>97</v>
      </c>
      <c r="Y32" s="67" t="s">
        <v>284</v>
      </c>
    </row>
    <row r="33" spans="1:25" x14ac:dyDescent="0.3">
      <c r="A33" s="26" t="s">
        <v>115</v>
      </c>
      <c r="B33" s="24" t="s">
        <v>96</v>
      </c>
      <c r="C33" s="25">
        <f t="shared" ref="C33:P33" si="10">IF(C34=0,0,IF(C34="WOF",3,IF(C34="LOF",0,IF(C34="F",0,IF(C34&gt;C35,3,IF(C34=C35,2,IF(C34&lt;C35,1,"Error")))))))</f>
        <v>1</v>
      </c>
      <c r="D33" s="25">
        <f t="shared" si="10"/>
        <v>1</v>
      </c>
      <c r="E33" s="25">
        <f t="shared" si="10"/>
        <v>3</v>
      </c>
      <c r="F33" s="25">
        <f t="shared" si="10"/>
        <v>1</v>
      </c>
      <c r="G33" s="25">
        <f t="shared" si="10"/>
        <v>3</v>
      </c>
      <c r="H33" s="25">
        <f t="shared" si="10"/>
        <v>1</v>
      </c>
      <c r="I33" s="25">
        <f t="shared" si="10"/>
        <v>3</v>
      </c>
      <c r="J33" s="25">
        <f t="shared" si="10"/>
        <v>1</v>
      </c>
      <c r="K33" s="25">
        <f t="shared" si="10"/>
        <v>1</v>
      </c>
      <c r="L33" s="25">
        <f t="shared" si="10"/>
        <v>3</v>
      </c>
      <c r="M33" s="25">
        <f t="shared" si="10"/>
        <v>1</v>
      </c>
      <c r="N33" s="25">
        <f t="shared" si="10"/>
        <v>3</v>
      </c>
      <c r="O33" s="25">
        <f t="shared" si="10"/>
        <v>1</v>
      </c>
      <c r="P33" s="25">
        <f t="shared" si="10"/>
        <v>3</v>
      </c>
      <c r="Q33" s="25"/>
      <c r="R33" s="25">
        <f>SUM(C33:P33)-Q33</f>
        <v>26</v>
      </c>
      <c r="T33" s="56">
        <f>R84</f>
        <v>19</v>
      </c>
      <c r="U33" s="7">
        <f>R85</f>
        <v>1.5561497326203209</v>
      </c>
      <c r="V33" s="56" t="str">
        <f>A84</f>
        <v>Ballz Deeper</v>
      </c>
      <c r="W33" s="68">
        <v>24</v>
      </c>
      <c r="X33" s="7">
        <v>1.6610169491525424</v>
      </c>
      <c r="Y33" s="2" t="s">
        <v>280</v>
      </c>
    </row>
    <row r="34" spans="1:25" x14ac:dyDescent="0.3">
      <c r="A34" s="4"/>
      <c r="B34" s="2" t="s">
        <v>94</v>
      </c>
      <c r="C34" s="6">
        <v>35</v>
      </c>
      <c r="D34" s="6">
        <v>46</v>
      </c>
      <c r="E34" s="6">
        <v>50</v>
      </c>
      <c r="F34" s="6">
        <v>38</v>
      </c>
      <c r="G34" s="6" t="s">
        <v>171</v>
      </c>
      <c r="H34" s="6">
        <v>44</v>
      </c>
      <c r="I34" s="6">
        <v>49</v>
      </c>
      <c r="J34" s="6">
        <v>43</v>
      </c>
      <c r="K34" s="6">
        <v>37</v>
      </c>
      <c r="L34" s="6">
        <v>62</v>
      </c>
      <c r="M34" s="6">
        <v>31</v>
      </c>
      <c r="N34" s="6" t="s">
        <v>171</v>
      </c>
      <c r="O34" s="6">
        <v>29</v>
      </c>
      <c r="P34" s="6">
        <v>47</v>
      </c>
      <c r="Q34" s="6">
        <f>SUM(C34:P34)</f>
        <v>511</v>
      </c>
      <c r="R34" s="7">
        <f>Q34/Q35</f>
        <v>0.72688477951635844</v>
      </c>
      <c r="T34" s="56">
        <f>R87</f>
        <v>10</v>
      </c>
      <c r="U34" s="7">
        <f>R88</f>
        <v>0.51781472684085506</v>
      </c>
      <c r="V34" s="56" t="str">
        <f>A87</f>
        <v>Dishwash</v>
      </c>
      <c r="W34" s="68">
        <v>19</v>
      </c>
      <c r="X34" s="7">
        <v>1.5561497326203209</v>
      </c>
      <c r="Y34" s="2" t="s">
        <v>279</v>
      </c>
    </row>
    <row r="35" spans="1:25" x14ac:dyDescent="0.3">
      <c r="A35" s="4"/>
      <c r="B35" s="2" t="s">
        <v>95</v>
      </c>
      <c r="C35" s="6">
        <v>66</v>
      </c>
      <c r="D35" s="6">
        <v>55</v>
      </c>
      <c r="E35" s="6">
        <v>49</v>
      </c>
      <c r="F35" s="6">
        <v>68</v>
      </c>
      <c r="G35" s="6"/>
      <c r="H35" s="6">
        <v>66</v>
      </c>
      <c r="I35" s="6">
        <v>43</v>
      </c>
      <c r="J35" s="6">
        <v>68</v>
      </c>
      <c r="K35" s="6">
        <v>79</v>
      </c>
      <c r="L35" s="6">
        <v>48</v>
      </c>
      <c r="M35" s="6">
        <v>47</v>
      </c>
      <c r="N35" s="6"/>
      <c r="O35" s="6">
        <v>72</v>
      </c>
      <c r="P35" s="6">
        <v>42</v>
      </c>
      <c r="Q35" s="6">
        <f>SUM(C35:P35)</f>
        <v>703</v>
      </c>
      <c r="R35" s="6"/>
      <c r="T35" s="56">
        <f>R90</f>
        <v>18</v>
      </c>
      <c r="U35" s="7">
        <f>R91</f>
        <v>1.0836236933797909</v>
      </c>
      <c r="V35" s="56" t="str">
        <f>A90</f>
        <v>Flying Fijians</v>
      </c>
      <c r="W35" s="68">
        <v>18</v>
      </c>
      <c r="X35" s="7">
        <v>1.0836236933797909</v>
      </c>
      <c r="Y35" s="2" t="s">
        <v>277</v>
      </c>
    </row>
    <row r="36" spans="1:25" x14ac:dyDescent="0.3">
      <c r="A36" s="24" t="s">
        <v>183</v>
      </c>
      <c r="B36" s="24" t="s">
        <v>96</v>
      </c>
      <c r="C36" s="25">
        <f t="shared" ref="C36:P36" si="11">IF(C37=0,0,IF(C37="WOF",3,IF(C37="F",0,IF(C37&gt;C38,3,IF(C37=C38,2,IF(C37&lt;C38,1,"Error"))))))</f>
        <v>1</v>
      </c>
      <c r="D36" s="25">
        <f t="shared" si="11"/>
        <v>3</v>
      </c>
      <c r="E36" s="25">
        <f t="shared" si="11"/>
        <v>3</v>
      </c>
      <c r="F36" s="25">
        <f t="shared" si="11"/>
        <v>3</v>
      </c>
      <c r="G36" s="25">
        <f t="shared" si="11"/>
        <v>1</v>
      </c>
      <c r="H36" s="25">
        <f t="shared" si="11"/>
        <v>3</v>
      </c>
      <c r="I36" s="25">
        <f t="shared" si="11"/>
        <v>3</v>
      </c>
      <c r="J36" s="25">
        <f t="shared" si="11"/>
        <v>1</v>
      </c>
      <c r="K36" s="25">
        <f t="shared" si="11"/>
        <v>3</v>
      </c>
      <c r="L36" s="25">
        <f t="shared" si="11"/>
        <v>1</v>
      </c>
      <c r="M36" s="25">
        <f t="shared" si="11"/>
        <v>3</v>
      </c>
      <c r="N36" s="25">
        <f t="shared" si="11"/>
        <v>1</v>
      </c>
      <c r="O36" s="25">
        <f t="shared" si="11"/>
        <v>3</v>
      </c>
      <c r="P36" s="25">
        <f t="shared" si="11"/>
        <v>3</v>
      </c>
      <c r="Q36" s="25"/>
      <c r="R36" s="25">
        <f>SUM(C36:P36)-Q36</f>
        <v>32</v>
      </c>
      <c r="T36" s="56">
        <f>R93</f>
        <v>24</v>
      </c>
      <c r="U36" s="7">
        <f>R94</f>
        <v>1.6610169491525424</v>
      </c>
      <c r="V36" s="56" t="str">
        <f>A93</f>
        <v>Serves You Right</v>
      </c>
      <c r="W36" s="68">
        <v>16</v>
      </c>
      <c r="X36" s="7">
        <v>0.78698224852071008</v>
      </c>
      <c r="Y36" s="2" t="s">
        <v>278</v>
      </c>
    </row>
    <row r="37" spans="1:25" x14ac:dyDescent="0.3">
      <c r="A37" s="2"/>
      <c r="B37" s="2" t="s">
        <v>94</v>
      </c>
      <c r="C37" s="6">
        <v>47</v>
      </c>
      <c r="D37" s="6">
        <v>55</v>
      </c>
      <c r="E37" s="6">
        <v>49</v>
      </c>
      <c r="F37" s="6">
        <v>49</v>
      </c>
      <c r="G37" s="6">
        <v>38</v>
      </c>
      <c r="H37" s="6" t="s">
        <v>171</v>
      </c>
      <c r="I37" s="6">
        <v>72</v>
      </c>
      <c r="J37" s="6">
        <v>34</v>
      </c>
      <c r="K37" s="6">
        <v>79</v>
      </c>
      <c r="L37" s="6">
        <v>51</v>
      </c>
      <c r="M37" s="6">
        <v>50</v>
      </c>
      <c r="N37" s="6">
        <v>38</v>
      </c>
      <c r="O37" s="6" t="s">
        <v>171</v>
      </c>
      <c r="P37" s="6">
        <v>57</v>
      </c>
      <c r="Q37" s="6">
        <f>SUM(C37:P37)</f>
        <v>619</v>
      </c>
      <c r="R37" s="7">
        <f>Q37/Q38</f>
        <v>1.0351170568561874</v>
      </c>
      <c r="T37" s="56">
        <f>R96</f>
        <v>16</v>
      </c>
      <c r="U37" s="7">
        <f>R97</f>
        <v>0.78698224852071008</v>
      </c>
      <c r="V37" s="56" t="str">
        <f>A96</f>
        <v>TBD</v>
      </c>
      <c r="W37" s="68">
        <v>10</v>
      </c>
      <c r="X37" s="7">
        <v>0.51781472684085506</v>
      </c>
      <c r="Y37" s="2" t="s">
        <v>276</v>
      </c>
    </row>
    <row r="38" spans="1:25" x14ac:dyDescent="0.3">
      <c r="A38" s="2"/>
      <c r="B38" s="2" t="s">
        <v>95</v>
      </c>
      <c r="C38" s="6">
        <v>65</v>
      </c>
      <c r="D38" s="6">
        <v>46</v>
      </c>
      <c r="E38" s="6">
        <v>23</v>
      </c>
      <c r="F38" s="6">
        <v>39</v>
      </c>
      <c r="G38" s="6">
        <v>58</v>
      </c>
      <c r="H38" s="6"/>
      <c r="I38" s="6">
        <v>38</v>
      </c>
      <c r="J38" s="6">
        <v>73</v>
      </c>
      <c r="K38" s="6">
        <v>37</v>
      </c>
      <c r="L38" s="6">
        <v>53</v>
      </c>
      <c r="M38" s="6">
        <v>48</v>
      </c>
      <c r="N38" s="6">
        <v>62</v>
      </c>
      <c r="O38" s="6"/>
      <c r="P38" s="6">
        <v>56</v>
      </c>
      <c r="Q38" s="6">
        <f>SUM(C38:P38)</f>
        <v>598</v>
      </c>
      <c r="R38" s="6"/>
      <c r="T38" s="66"/>
      <c r="U38" s="71"/>
    </row>
    <row r="39" spans="1:25" x14ac:dyDescent="0.3">
      <c r="A39" s="26" t="s">
        <v>184</v>
      </c>
      <c r="B39" s="24" t="s">
        <v>96</v>
      </c>
      <c r="C39" s="25">
        <f>IF(C40=0,0,IF(C40="WOF",3,IF(C40="LOF",0,IF(C40="F",0,IF(C40&gt;C41,3,IF(C40=C41,2,IF(C40&lt;C41,1,"Error")))))))</f>
        <v>3</v>
      </c>
      <c r="D39" s="25">
        <f>IF(D40=0,0,IF(D40="WOF",3,IF(D40="LOF",0,IF(D40="F",0,IF(D40&gt;D41,3,IF(D40=D41,2,IF(D40&lt;D41,1,"Error")))))))</f>
        <v>3</v>
      </c>
      <c r="E39" s="25">
        <f>IF(E40=0,0,IF(E40="WOF",3,IF(E40="LOF",0,IF(E40="F",0,IF(E40&gt;E41,3,IF(E40=E41,2,IF(E40&lt;E41,1,"Error")))))))</f>
        <v>1</v>
      </c>
      <c r="F39" s="25">
        <f t="shared" ref="F39:P39" si="12">IF(F40=0,0,IF(F40="WOF",3,IF(F40="LOF",0,IF(F40="F",0,IF(F40&gt;F41,3,IF(F40=F41,2,IF(F40&lt;F41,1,"Error")))))))</f>
        <v>3</v>
      </c>
      <c r="G39" s="25">
        <f t="shared" si="12"/>
        <v>1</v>
      </c>
      <c r="H39" s="25">
        <f t="shared" si="12"/>
        <v>3</v>
      </c>
      <c r="I39" s="25">
        <f t="shared" si="12"/>
        <v>3</v>
      </c>
      <c r="J39" s="25">
        <f t="shared" si="12"/>
        <v>1</v>
      </c>
      <c r="K39" s="25">
        <f t="shared" si="12"/>
        <v>1</v>
      </c>
      <c r="L39" s="25">
        <f t="shared" si="12"/>
        <v>3</v>
      </c>
      <c r="M39" s="25">
        <f t="shared" si="12"/>
        <v>1</v>
      </c>
      <c r="N39" s="25">
        <f t="shared" si="12"/>
        <v>3</v>
      </c>
      <c r="O39" s="25">
        <f t="shared" si="12"/>
        <v>3</v>
      </c>
      <c r="P39" s="25">
        <f t="shared" si="12"/>
        <v>3</v>
      </c>
      <c r="Q39" s="25"/>
      <c r="R39" s="25">
        <f>SUM(C39:P39)-Q39</f>
        <v>32</v>
      </c>
      <c r="T39" s="66"/>
      <c r="U39" s="71"/>
    </row>
    <row r="40" spans="1:25" x14ac:dyDescent="0.3">
      <c r="A40" s="4"/>
      <c r="B40" s="2" t="s">
        <v>94</v>
      </c>
      <c r="C40" s="6">
        <v>54</v>
      </c>
      <c r="D40" s="6">
        <v>47</v>
      </c>
      <c r="E40" s="6">
        <v>23</v>
      </c>
      <c r="F40" s="6">
        <v>64</v>
      </c>
      <c r="G40" s="6">
        <v>48</v>
      </c>
      <c r="H40" s="6">
        <v>66</v>
      </c>
      <c r="I40" s="6" t="s">
        <v>171</v>
      </c>
      <c r="J40" s="6">
        <v>29</v>
      </c>
      <c r="K40" s="6">
        <v>40</v>
      </c>
      <c r="L40" s="6">
        <v>53</v>
      </c>
      <c r="M40" s="6">
        <v>48</v>
      </c>
      <c r="N40" s="6">
        <v>82</v>
      </c>
      <c r="O40" s="6">
        <v>72</v>
      </c>
      <c r="P40" s="6" t="s">
        <v>171</v>
      </c>
      <c r="Q40" s="6">
        <f>SUM(C40:P40)</f>
        <v>626</v>
      </c>
      <c r="R40" s="7">
        <f>Q40/Q41</f>
        <v>1.1571164510166358</v>
      </c>
      <c r="T40" s="66"/>
      <c r="U40" s="71"/>
    </row>
    <row r="41" spans="1:25" x14ac:dyDescent="0.3">
      <c r="A41" s="4"/>
      <c r="B41" s="2" t="s">
        <v>95</v>
      </c>
      <c r="C41" s="6">
        <v>32</v>
      </c>
      <c r="D41" s="6">
        <v>43</v>
      </c>
      <c r="E41" s="6">
        <v>49</v>
      </c>
      <c r="F41" s="6">
        <v>34</v>
      </c>
      <c r="G41" s="6">
        <v>56</v>
      </c>
      <c r="H41" s="6">
        <v>44</v>
      </c>
      <c r="I41" s="6"/>
      <c r="J41" s="6">
        <v>51</v>
      </c>
      <c r="K41" s="6">
        <v>69</v>
      </c>
      <c r="L41" s="6">
        <v>51</v>
      </c>
      <c r="M41" s="6">
        <v>50</v>
      </c>
      <c r="N41" s="6">
        <v>33</v>
      </c>
      <c r="O41" s="6">
        <v>29</v>
      </c>
      <c r="P41" s="6"/>
      <c r="Q41" s="6">
        <f>SUM(C41:P41)</f>
        <v>541</v>
      </c>
      <c r="R41" s="6"/>
      <c r="T41" s="66"/>
      <c r="U41" s="71"/>
    </row>
    <row r="42" spans="1:25" x14ac:dyDescent="0.3">
      <c r="A42" s="26" t="s">
        <v>151</v>
      </c>
      <c r="B42" s="24" t="s">
        <v>96</v>
      </c>
      <c r="C42" s="25">
        <f t="shared" ref="C42:P42" si="13">IF(C43=0,0,IF(C43="WOF",3,IF(C43="LOF",0,IF(C43="F",0,IF(C43&gt;C44,3,IF(C43=C44,2,IF(C43&lt;C44,1,"Error")))))))</f>
        <v>3</v>
      </c>
      <c r="D42" s="25">
        <f t="shared" si="13"/>
        <v>1</v>
      </c>
      <c r="E42" s="25">
        <f t="shared" si="13"/>
        <v>3</v>
      </c>
      <c r="F42" s="25">
        <f t="shared" si="13"/>
        <v>3</v>
      </c>
      <c r="G42" s="25">
        <f t="shared" si="13"/>
        <v>3</v>
      </c>
      <c r="H42" s="25">
        <f t="shared" si="13"/>
        <v>3</v>
      </c>
      <c r="I42" s="25">
        <f t="shared" si="13"/>
        <v>3</v>
      </c>
      <c r="J42" s="25">
        <f t="shared" si="13"/>
        <v>3</v>
      </c>
      <c r="K42" s="25">
        <f t="shared" si="13"/>
        <v>3</v>
      </c>
      <c r="L42" s="25">
        <f t="shared" si="13"/>
        <v>3</v>
      </c>
      <c r="M42" s="25">
        <f t="shared" si="13"/>
        <v>3</v>
      </c>
      <c r="N42" s="25">
        <f t="shared" si="13"/>
        <v>3</v>
      </c>
      <c r="O42" s="25">
        <f t="shared" si="13"/>
        <v>3</v>
      </c>
      <c r="P42" s="25">
        <f t="shared" si="13"/>
        <v>3</v>
      </c>
      <c r="Q42" s="25"/>
      <c r="R42" s="25">
        <f>SUM(C42:P42)-Q42</f>
        <v>40</v>
      </c>
      <c r="T42" s="66"/>
      <c r="U42" s="71"/>
    </row>
    <row r="43" spans="1:25" x14ac:dyDescent="0.3">
      <c r="A43" s="4"/>
      <c r="B43" s="2" t="s">
        <v>94</v>
      </c>
      <c r="C43" s="6">
        <v>66</v>
      </c>
      <c r="D43" s="6">
        <v>43</v>
      </c>
      <c r="E43" s="6">
        <v>49</v>
      </c>
      <c r="F43" s="6" t="s">
        <v>171</v>
      </c>
      <c r="G43" s="6">
        <v>58</v>
      </c>
      <c r="H43" s="6">
        <v>96</v>
      </c>
      <c r="I43" s="6">
        <v>55</v>
      </c>
      <c r="J43" s="6">
        <v>68</v>
      </c>
      <c r="K43" s="6">
        <v>69</v>
      </c>
      <c r="L43" s="6">
        <v>45</v>
      </c>
      <c r="M43" s="6" t="s">
        <v>171</v>
      </c>
      <c r="N43" s="6">
        <v>62</v>
      </c>
      <c r="O43" s="6">
        <v>80</v>
      </c>
      <c r="P43" s="6">
        <v>55</v>
      </c>
      <c r="Q43" s="6">
        <f>SUM(C43:P43)</f>
        <v>746</v>
      </c>
      <c r="R43" s="7">
        <f>Q43/Q44</f>
        <v>1.5838641188959661</v>
      </c>
    </row>
    <row r="44" spans="1:25" x14ac:dyDescent="0.3">
      <c r="A44" s="4"/>
      <c r="B44" s="2" t="s">
        <v>95</v>
      </c>
      <c r="C44" s="6">
        <v>35</v>
      </c>
      <c r="D44" s="6">
        <v>47</v>
      </c>
      <c r="E44" s="6">
        <v>42</v>
      </c>
      <c r="F44" s="6"/>
      <c r="G44" s="6">
        <v>38</v>
      </c>
      <c r="H44" s="6">
        <v>24</v>
      </c>
      <c r="I44" s="6">
        <v>40</v>
      </c>
      <c r="J44" s="6">
        <v>43</v>
      </c>
      <c r="K44" s="6">
        <v>40</v>
      </c>
      <c r="L44" s="6">
        <v>37</v>
      </c>
      <c r="M44" s="6"/>
      <c r="N44" s="6">
        <v>38</v>
      </c>
      <c r="O44" s="6">
        <v>41</v>
      </c>
      <c r="P44" s="6">
        <v>46</v>
      </c>
      <c r="Q44" s="6">
        <f>SUM(C44:P44)</f>
        <v>471</v>
      </c>
      <c r="R44" s="6"/>
    </row>
    <row r="45" spans="1:25" ht="14.7" customHeight="1" x14ac:dyDescent="0.3">
      <c r="A45" s="3" t="s">
        <v>185</v>
      </c>
      <c r="B45" s="3"/>
      <c r="C45" s="5" t="s">
        <v>33</v>
      </c>
      <c r="D45" s="5" t="s">
        <v>34</v>
      </c>
      <c r="E45" s="5" t="s">
        <v>35</v>
      </c>
      <c r="F45" s="5" t="s">
        <v>36</v>
      </c>
      <c r="G45" s="5" t="s">
        <v>37</v>
      </c>
      <c r="H45" s="5" t="s">
        <v>38</v>
      </c>
      <c r="I45" s="5" t="s">
        <v>39</v>
      </c>
      <c r="J45" s="5" t="s">
        <v>40</v>
      </c>
      <c r="K45" s="5" t="s">
        <v>41</v>
      </c>
      <c r="L45" s="5" t="s">
        <v>42</v>
      </c>
      <c r="M45" s="5" t="s">
        <v>43</v>
      </c>
      <c r="N45" s="5" t="s">
        <v>44</v>
      </c>
      <c r="O45" s="5" t="s">
        <v>45</v>
      </c>
      <c r="P45" s="5" t="s">
        <v>46</v>
      </c>
      <c r="Q45" s="5" t="s">
        <v>93</v>
      </c>
      <c r="R45" s="5" t="s">
        <v>47</v>
      </c>
    </row>
    <row r="46" spans="1:25" x14ac:dyDescent="0.3">
      <c r="A46" s="24" t="s">
        <v>176</v>
      </c>
      <c r="B46" s="24" t="s">
        <v>96</v>
      </c>
      <c r="C46" s="25">
        <f t="shared" ref="C46:P46" si="14">IF(C47=0,0,IF(C47="WOF",3,IF(C47="LOF",0,IF(C47="F",0,IF(C47&gt;C48,3,IF(C47=C48,2,IF(C47&lt;C48,1,"Error")))))))</f>
        <v>3</v>
      </c>
      <c r="D46" s="25">
        <f t="shared" si="14"/>
        <v>3</v>
      </c>
      <c r="E46" s="25">
        <f t="shared" si="14"/>
        <v>3</v>
      </c>
      <c r="F46" s="25">
        <f t="shared" si="14"/>
        <v>3</v>
      </c>
      <c r="G46" s="25">
        <f t="shared" si="14"/>
        <v>1</v>
      </c>
      <c r="H46" s="25">
        <f t="shared" si="14"/>
        <v>3</v>
      </c>
      <c r="I46" s="25">
        <f t="shared" si="14"/>
        <v>3</v>
      </c>
      <c r="J46" s="25">
        <f t="shared" si="14"/>
        <v>3</v>
      </c>
      <c r="K46" s="25">
        <f t="shared" si="14"/>
        <v>3</v>
      </c>
      <c r="L46" s="25">
        <f t="shared" si="14"/>
        <v>3</v>
      </c>
      <c r="M46" s="25">
        <f t="shared" si="14"/>
        <v>3</v>
      </c>
      <c r="N46" s="25">
        <f t="shared" si="14"/>
        <v>1</v>
      </c>
      <c r="O46" s="25">
        <f t="shared" si="14"/>
        <v>1</v>
      </c>
      <c r="P46" s="25">
        <f t="shared" si="14"/>
        <v>0</v>
      </c>
      <c r="Q46" s="25">
        <v>2</v>
      </c>
      <c r="R46" s="25">
        <f>SUM(C46:P46)-Q46</f>
        <v>31</v>
      </c>
    </row>
    <row r="47" spans="1:25" x14ac:dyDescent="0.3">
      <c r="A47" s="2"/>
      <c r="B47" s="2" t="s">
        <v>94</v>
      </c>
      <c r="C47" s="6">
        <v>67</v>
      </c>
      <c r="D47" s="6">
        <v>63</v>
      </c>
      <c r="E47" s="6">
        <v>49</v>
      </c>
      <c r="F47" s="6">
        <v>44</v>
      </c>
      <c r="G47" s="6">
        <v>25</v>
      </c>
      <c r="H47" s="6" t="s">
        <v>253</v>
      </c>
      <c r="I47" s="6">
        <v>51</v>
      </c>
      <c r="J47" s="6">
        <v>50</v>
      </c>
      <c r="K47" s="6">
        <v>70</v>
      </c>
      <c r="L47" s="6">
        <v>56</v>
      </c>
      <c r="M47" s="6" t="s">
        <v>253</v>
      </c>
      <c r="N47" s="6">
        <v>39</v>
      </c>
      <c r="O47" s="6">
        <v>45</v>
      </c>
      <c r="P47" s="6" t="s">
        <v>254</v>
      </c>
      <c r="Q47" s="6">
        <f>SUM(C47:P47)</f>
        <v>559</v>
      </c>
      <c r="R47" s="7">
        <f>Q47/Q48</f>
        <v>1.2152173913043478</v>
      </c>
    </row>
    <row r="48" spans="1:25" x14ac:dyDescent="0.3">
      <c r="A48" s="2"/>
      <c r="B48" s="2" t="s">
        <v>95</v>
      </c>
      <c r="C48" s="6">
        <v>24</v>
      </c>
      <c r="D48" s="6">
        <v>43</v>
      </c>
      <c r="E48" s="6">
        <v>30</v>
      </c>
      <c r="F48" s="6">
        <v>42</v>
      </c>
      <c r="G48" s="6">
        <v>63</v>
      </c>
      <c r="H48" s="6"/>
      <c r="I48" s="6">
        <v>32</v>
      </c>
      <c r="J48" s="6">
        <v>41</v>
      </c>
      <c r="K48" s="6">
        <v>31</v>
      </c>
      <c r="L48" s="6">
        <v>36</v>
      </c>
      <c r="M48" s="6"/>
      <c r="N48" s="6">
        <v>67</v>
      </c>
      <c r="O48" s="6">
        <v>51</v>
      </c>
      <c r="P48" s="6"/>
      <c r="Q48" s="6">
        <f>SUM(C48:P48)</f>
        <v>460</v>
      </c>
      <c r="R48" s="6"/>
    </row>
    <row r="49" spans="1:18" x14ac:dyDescent="0.3">
      <c r="A49" s="24" t="s">
        <v>150</v>
      </c>
      <c r="B49" s="24" t="s">
        <v>96</v>
      </c>
      <c r="C49" s="25">
        <f t="shared" ref="C49:P49" si="15">IF(C50=0,0,IF(C50="WOF",3,IF(C50="LOF",0,IF(C50="F",0,IF(C50&gt;C51,3,IF(C50=C51,2,IF(C50&lt;C51,1,"Error")))))))</f>
        <v>1</v>
      </c>
      <c r="D49" s="25">
        <f t="shared" si="15"/>
        <v>1</v>
      </c>
      <c r="E49" s="25">
        <f t="shared" si="15"/>
        <v>3</v>
      </c>
      <c r="F49" s="25">
        <f t="shared" si="15"/>
        <v>3</v>
      </c>
      <c r="G49" s="25">
        <f t="shared" si="15"/>
        <v>3</v>
      </c>
      <c r="H49" s="25">
        <f t="shared" si="15"/>
        <v>1</v>
      </c>
      <c r="I49" s="25">
        <f t="shared" si="15"/>
        <v>3</v>
      </c>
      <c r="J49" s="25">
        <f t="shared" si="15"/>
        <v>3</v>
      </c>
      <c r="K49" s="25">
        <f t="shared" si="15"/>
        <v>3</v>
      </c>
      <c r="L49" s="25">
        <f t="shared" si="15"/>
        <v>1</v>
      </c>
      <c r="M49" s="25">
        <f t="shared" si="15"/>
        <v>1</v>
      </c>
      <c r="N49" s="25">
        <f t="shared" si="15"/>
        <v>1</v>
      </c>
      <c r="O49" s="25">
        <f t="shared" si="15"/>
        <v>3</v>
      </c>
      <c r="P49" s="25">
        <f t="shared" si="15"/>
        <v>3</v>
      </c>
      <c r="Q49" s="25"/>
      <c r="R49" s="25">
        <f>SUM(C49:P49)-Q49</f>
        <v>30</v>
      </c>
    </row>
    <row r="50" spans="1:18" x14ac:dyDescent="0.3">
      <c r="A50" s="2"/>
      <c r="B50" s="2" t="s">
        <v>94</v>
      </c>
      <c r="C50" s="6">
        <v>39</v>
      </c>
      <c r="D50" s="6">
        <v>42</v>
      </c>
      <c r="E50" s="6">
        <v>60</v>
      </c>
      <c r="F50" s="6">
        <v>68</v>
      </c>
      <c r="G50" s="6">
        <v>63</v>
      </c>
      <c r="H50" s="6">
        <v>38</v>
      </c>
      <c r="I50" s="6">
        <v>43</v>
      </c>
      <c r="J50" s="6">
        <v>95</v>
      </c>
      <c r="K50" s="6">
        <v>55</v>
      </c>
      <c r="L50" s="6">
        <v>36</v>
      </c>
      <c r="M50" s="6">
        <v>26</v>
      </c>
      <c r="N50" s="6">
        <v>34</v>
      </c>
      <c r="O50" s="6">
        <v>60</v>
      </c>
      <c r="P50" s="6">
        <v>57</v>
      </c>
      <c r="Q50" s="6">
        <f>SUM(C50:P50)</f>
        <v>716</v>
      </c>
      <c r="R50" s="7">
        <f>Q50/Q51</f>
        <v>1.1419457735247209</v>
      </c>
    </row>
    <row r="51" spans="1:18" x14ac:dyDescent="0.3">
      <c r="A51" s="2"/>
      <c r="B51" s="2" t="s">
        <v>95</v>
      </c>
      <c r="C51" s="6">
        <v>41</v>
      </c>
      <c r="D51" s="6">
        <v>46</v>
      </c>
      <c r="E51" s="6">
        <v>44</v>
      </c>
      <c r="F51" s="6">
        <v>41</v>
      </c>
      <c r="G51" s="6">
        <v>25</v>
      </c>
      <c r="H51" s="6">
        <v>53</v>
      </c>
      <c r="I51" s="6">
        <v>42</v>
      </c>
      <c r="J51" s="6">
        <v>26</v>
      </c>
      <c r="K51" s="6">
        <v>44</v>
      </c>
      <c r="L51" s="6">
        <v>56</v>
      </c>
      <c r="M51" s="6">
        <v>85</v>
      </c>
      <c r="N51" s="6">
        <v>39</v>
      </c>
      <c r="O51" s="6">
        <v>54</v>
      </c>
      <c r="P51" s="6">
        <v>31</v>
      </c>
      <c r="Q51" s="6">
        <f>SUM(C51:P51)</f>
        <v>627</v>
      </c>
      <c r="R51" s="6"/>
    </row>
    <row r="52" spans="1:18" x14ac:dyDescent="0.3">
      <c r="A52" s="24" t="s">
        <v>186</v>
      </c>
      <c r="B52" s="24" t="s">
        <v>96</v>
      </c>
      <c r="C52" s="25">
        <f t="shared" ref="C52:P52" si="16">IF(C53=0,0,IF(C53="WOF",3,IF(C53="LOF",0,IF(C53="F",0,IF(C53&gt;C54,3,IF(C53=C54,2,IF(C53&lt;C54,1,"Error")))))))</f>
        <v>1</v>
      </c>
      <c r="D52" s="25">
        <f t="shared" si="16"/>
        <v>1</v>
      </c>
      <c r="E52" s="25">
        <f t="shared" si="16"/>
        <v>1</v>
      </c>
      <c r="F52" s="25">
        <f t="shared" si="16"/>
        <v>1</v>
      </c>
      <c r="G52" s="25">
        <f t="shared" si="16"/>
        <v>3</v>
      </c>
      <c r="H52" s="25">
        <f t="shared" si="16"/>
        <v>1</v>
      </c>
      <c r="I52" s="25">
        <f t="shared" si="16"/>
        <v>3</v>
      </c>
      <c r="J52" s="25">
        <f t="shared" si="16"/>
        <v>1</v>
      </c>
      <c r="K52" s="25">
        <f t="shared" si="16"/>
        <v>1</v>
      </c>
      <c r="L52" s="25">
        <f t="shared" si="16"/>
        <v>1</v>
      </c>
      <c r="M52" s="25">
        <f t="shared" si="16"/>
        <v>3</v>
      </c>
      <c r="N52" s="25">
        <f t="shared" si="16"/>
        <v>3</v>
      </c>
      <c r="O52" s="25">
        <f t="shared" si="16"/>
        <v>1</v>
      </c>
      <c r="P52" s="25">
        <f t="shared" si="16"/>
        <v>3</v>
      </c>
      <c r="Q52" s="25"/>
      <c r="R52" s="25">
        <f>SUM(C52:P52)-Q52</f>
        <v>24</v>
      </c>
    </row>
    <row r="53" spans="1:18" x14ac:dyDescent="0.3">
      <c r="A53" s="2"/>
      <c r="B53" s="2" t="s">
        <v>94</v>
      </c>
      <c r="C53" s="6">
        <v>49</v>
      </c>
      <c r="D53" s="6">
        <v>47</v>
      </c>
      <c r="E53" s="6">
        <v>44</v>
      </c>
      <c r="F53" s="6">
        <v>42</v>
      </c>
      <c r="G53" s="6">
        <v>64</v>
      </c>
      <c r="H53" s="6">
        <v>47</v>
      </c>
      <c r="I53" s="6">
        <v>63</v>
      </c>
      <c r="J53" s="6">
        <v>26</v>
      </c>
      <c r="K53" s="6">
        <v>31</v>
      </c>
      <c r="L53" s="6">
        <v>37</v>
      </c>
      <c r="M53" s="6" t="s">
        <v>253</v>
      </c>
      <c r="N53" s="6">
        <v>57</v>
      </c>
      <c r="O53" s="6">
        <v>54</v>
      </c>
      <c r="P53" s="6" t="s">
        <v>253</v>
      </c>
      <c r="Q53" s="6">
        <f>SUM(C53:P53)</f>
        <v>561</v>
      </c>
      <c r="R53" s="7">
        <f>Q53/Q54</f>
        <v>0.75810810810810814</v>
      </c>
    </row>
    <row r="54" spans="1:18" x14ac:dyDescent="0.3">
      <c r="A54" s="2"/>
      <c r="B54" s="2" t="s">
        <v>95</v>
      </c>
      <c r="C54" s="6">
        <v>60</v>
      </c>
      <c r="D54" s="6">
        <v>60</v>
      </c>
      <c r="E54" s="6">
        <v>60</v>
      </c>
      <c r="F54" s="6">
        <v>44</v>
      </c>
      <c r="G54" s="6">
        <v>59</v>
      </c>
      <c r="H54" s="6">
        <v>63</v>
      </c>
      <c r="I54" s="6">
        <v>48</v>
      </c>
      <c r="J54" s="6">
        <v>95</v>
      </c>
      <c r="K54" s="6">
        <v>70</v>
      </c>
      <c r="L54" s="6">
        <v>74</v>
      </c>
      <c r="M54" s="6"/>
      <c r="N54" s="6">
        <v>47</v>
      </c>
      <c r="O54" s="6">
        <v>60</v>
      </c>
      <c r="P54" s="6"/>
      <c r="Q54" s="6">
        <f>SUM(C54:P54)</f>
        <v>740</v>
      </c>
      <c r="R54" s="6"/>
    </row>
    <row r="55" spans="1:18" x14ac:dyDescent="0.3">
      <c r="A55" s="24" t="s">
        <v>128</v>
      </c>
      <c r="B55" s="24" t="s">
        <v>96</v>
      </c>
      <c r="C55" s="25">
        <f t="shared" ref="C55:P55" si="17">IF(C56=0,0,IF(C56="WOF",3,IF(C56="LOF",0,IF(C56="F",0,IF(C56&gt;C57,3,IF(C56=C57,2,IF(C56&lt;C57,1,"Error")))))))</f>
        <v>3</v>
      </c>
      <c r="D55" s="25">
        <f t="shared" si="17"/>
        <v>1</v>
      </c>
      <c r="E55" s="25">
        <f t="shared" si="17"/>
        <v>3</v>
      </c>
      <c r="F55" s="25">
        <f t="shared" si="17"/>
        <v>3</v>
      </c>
      <c r="G55" s="25">
        <f t="shared" si="17"/>
        <v>1</v>
      </c>
      <c r="H55" s="25">
        <f t="shared" si="17"/>
        <v>3</v>
      </c>
      <c r="I55" s="25">
        <f t="shared" si="17"/>
        <v>1</v>
      </c>
      <c r="J55" s="25">
        <f t="shared" si="17"/>
        <v>3</v>
      </c>
      <c r="K55" s="25">
        <f t="shared" si="17"/>
        <v>1</v>
      </c>
      <c r="L55" s="25">
        <f t="shared" si="17"/>
        <v>3</v>
      </c>
      <c r="M55" s="25">
        <f t="shared" si="17"/>
        <v>3</v>
      </c>
      <c r="N55" s="25">
        <f t="shared" si="17"/>
        <v>3</v>
      </c>
      <c r="O55" s="25">
        <f t="shared" si="17"/>
        <v>3</v>
      </c>
      <c r="P55" s="25">
        <f t="shared" si="17"/>
        <v>3</v>
      </c>
      <c r="Q55" s="25"/>
      <c r="R55" s="25">
        <f>SUM(C55:P55)-Q55</f>
        <v>34</v>
      </c>
    </row>
    <row r="56" spans="1:18" x14ac:dyDescent="0.3">
      <c r="A56" s="2"/>
      <c r="B56" s="2" t="s">
        <v>94</v>
      </c>
      <c r="C56" s="6">
        <v>41</v>
      </c>
      <c r="D56" s="6">
        <v>43</v>
      </c>
      <c r="E56" s="6">
        <v>58</v>
      </c>
      <c r="F56" s="6">
        <v>57</v>
      </c>
      <c r="G56" s="6">
        <v>59</v>
      </c>
      <c r="H56" s="6">
        <v>53</v>
      </c>
      <c r="I56" s="6">
        <v>32</v>
      </c>
      <c r="J56" s="6">
        <v>54</v>
      </c>
      <c r="K56" s="6">
        <v>52</v>
      </c>
      <c r="L56" s="6">
        <v>74</v>
      </c>
      <c r="M56" s="6">
        <v>85</v>
      </c>
      <c r="N56" s="6">
        <v>67</v>
      </c>
      <c r="O56" s="6">
        <v>70</v>
      </c>
      <c r="P56" s="6">
        <v>76</v>
      </c>
      <c r="Q56" s="6">
        <f>SUM(C56:P56)</f>
        <v>821</v>
      </c>
      <c r="R56" s="7">
        <f>Q56/Q57</f>
        <v>1.3371335504885993</v>
      </c>
    </row>
    <row r="57" spans="1:18" x14ac:dyDescent="0.3">
      <c r="A57" s="2"/>
      <c r="B57" s="2" t="s">
        <v>95</v>
      </c>
      <c r="C57" s="6">
        <v>39</v>
      </c>
      <c r="D57" s="6">
        <v>63</v>
      </c>
      <c r="E57" s="6">
        <v>38</v>
      </c>
      <c r="F57" s="6">
        <v>46</v>
      </c>
      <c r="G57" s="6">
        <v>64</v>
      </c>
      <c r="H57" s="6">
        <v>38</v>
      </c>
      <c r="I57" s="6">
        <v>51</v>
      </c>
      <c r="J57" s="6">
        <v>37</v>
      </c>
      <c r="K57" s="6">
        <v>62</v>
      </c>
      <c r="L57" s="6">
        <v>37</v>
      </c>
      <c r="M57" s="6">
        <v>26</v>
      </c>
      <c r="N57" s="6">
        <v>39</v>
      </c>
      <c r="O57" s="6">
        <v>36</v>
      </c>
      <c r="P57" s="6">
        <v>38</v>
      </c>
      <c r="Q57" s="6">
        <f>SUM(C57:P57)</f>
        <v>614</v>
      </c>
      <c r="R57" s="6"/>
    </row>
    <row r="58" spans="1:18" x14ac:dyDescent="0.3">
      <c r="A58" s="24" t="s">
        <v>130</v>
      </c>
      <c r="B58" s="24" t="s">
        <v>96</v>
      </c>
      <c r="C58" s="25">
        <f t="shared" ref="C58:P58" si="18">IF(C59=0,0,IF(C59="WOF",3,IF(C59="LOF",0,IF(C59="F",0,IF(C59&gt;C60,3,IF(C59=C60,2,IF(C59&lt;C60,1,"Error")))))))</f>
        <v>1</v>
      </c>
      <c r="D58" s="25">
        <f t="shared" si="18"/>
        <v>3</v>
      </c>
      <c r="E58" s="25">
        <f t="shared" si="18"/>
        <v>1</v>
      </c>
      <c r="F58" s="25">
        <f t="shared" si="18"/>
        <v>1</v>
      </c>
      <c r="G58" s="25">
        <f t="shared" si="18"/>
        <v>1</v>
      </c>
      <c r="H58" s="25">
        <f t="shared" si="18"/>
        <v>0</v>
      </c>
      <c r="I58" s="25">
        <f t="shared" si="18"/>
        <v>1</v>
      </c>
      <c r="J58" s="25">
        <f t="shared" si="18"/>
        <v>1</v>
      </c>
      <c r="K58" s="25">
        <f t="shared" si="18"/>
        <v>1</v>
      </c>
      <c r="L58" s="25">
        <f t="shared" si="18"/>
        <v>3</v>
      </c>
      <c r="M58" s="25">
        <f t="shared" si="18"/>
        <v>0</v>
      </c>
      <c r="N58" s="25">
        <f t="shared" si="18"/>
        <v>1</v>
      </c>
      <c r="O58" s="25">
        <f t="shared" si="18"/>
        <v>1</v>
      </c>
      <c r="P58" s="25">
        <f t="shared" si="18"/>
        <v>1</v>
      </c>
      <c r="Q58" s="25">
        <v>2</v>
      </c>
      <c r="R58" s="25">
        <f>SUM(C58:P58)-Q58</f>
        <v>14</v>
      </c>
    </row>
    <row r="59" spans="1:18" x14ac:dyDescent="0.3">
      <c r="A59" s="2"/>
      <c r="B59" s="2" t="s">
        <v>94</v>
      </c>
      <c r="C59" s="6">
        <v>24</v>
      </c>
      <c r="D59" s="6">
        <v>60</v>
      </c>
      <c r="E59" s="6">
        <v>38</v>
      </c>
      <c r="F59" s="6">
        <v>41</v>
      </c>
      <c r="G59" s="6">
        <v>42</v>
      </c>
      <c r="H59" s="6" t="s">
        <v>254</v>
      </c>
      <c r="I59" s="6">
        <v>48</v>
      </c>
      <c r="J59" s="6">
        <v>37</v>
      </c>
      <c r="K59" s="6">
        <v>44</v>
      </c>
      <c r="L59" s="6">
        <v>53</v>
      </c>
      <c r="M59" s="6" t="s">
        <v>254</v>
      </c>
      <c r="N59" s="6">
        <v>47</v>
      </c>
      <c r="O59" s="6">
        <v>36</v>
      </c>
      <c r="P59" s="6">
        <v>31</v>
      </c>
      <c r="Q59" s="6">
        <f>SUM(C59:P59)</f>
        <v>501</v>
      </c>
      <c r="R59" s="7">
        <f>Q59/Q60</f>
        <v>0.71469329529243941</v>
      </c>
    </row>
    <row r="60" spans="1:18" x14ac:dyDescent="0.3">
      <c r="A60" s="2"/>
      <c r="B60" s="2" t="s">
        <v>95</v>
      </c>
      <c r="C60" s="6">
        <v>67</v>
      </c>
      <c r="D60" s="6">
        <v>47</v>
      </c>
      <c r="E60" s="6">
        <v>58</v>
      </c>
      <c r="F60" s="6">
        <v>68</v>
      </c>
      <c r="G60" s="6">
        <v>54</v>
      </c>
      <c r="H60" s="6"/>
      <c r="I60" s="6">
        <v>63</v>
      </c>
      <c r="J60" s="6">
        <v>54</v>
      </c>
      <c r="K60" s="6">
        <v>55</v>
      </c>
      <c r="L60" s="6">
        <v>51</v>
      </c>
      <c r="M60" s="6"/>
      <c r="N60" s="6">
        <v>57</v>
      </c>
      <c r="O60" s="6">
        <v>70</v>
      </c>
      <c r="P60" s="6">
        <v>57</v>
      </c>
      <c r="Q60" s="6">
        <f>SUM(C60:P60)</f>
        <v>701</v>
      </c>
      <c r="R60" s="6"/>
    </row>
    <row r="61" spans="1:18" x14ac:dyDescent="0.3">
      <c r="A61" s="24" t="s">
        <v>5</v>
      </c>
      <c r="B61" s="24" t="s">
        <v>96</v>
      </c>
      <c r="C61" s="25">
        <f t="shared" ref="C61:P61" si="19">IF(C62=0,0,IF(C62="WOF",3,IF(C62="LOF",0,IF(C62="F",0,IF(C62&gt;C63,3,IF(C62=C63,2,IF(C62&lt;C63,1,"Error")))))))</f>
        <v>3</v>
      </c>
      <c r="D61" s="25">
        <f t="shared" si="19"/>
        <v>3</v>
      </c>
      <c r="E61" s="25">
        <f t="shared" si="19"/>
        <v>1</v>
      </c>
      <c r="F61" s="25">
        <f t="shared" si="19"/>
        <v>1</v>
      </c>
      <c r="G61" s="25">
        <f t="shared" si="19"/>
        <v>3</v>
      </c>
      <c r="H61" s="25">
        <f t="shared" si="19"/>
        <v>3</v>
      </c>
      <c r="I61" s="25">
        <f t="shared" si="19"/>
        <v>1</v>
      </c>
      <c r="J61" s="25">
        <f t="shared" si="19"/>
        <v>1</v>
      </c>
      <c r="K61" s="25">
        <f t="shared" si="19"/>
        <v>3</v>
      </c>
      <c r="L61" s="25">
        <f t="shared" si="19"/>
        <v>1</v>
      </c>
      <c r="M61" s="25">
        <f t="shared" si="19"/>
        <v>0</v>
      </c>
      <c r="N61" s="25">
        <f t="shared" si="19"/>
        <v>3</v>
      </c>
      <c r="O61" s="25">
        <f t="shared" si="19"/>
        <v>3</v>
      </c>
      <c r="P61" s="25">
        <f t="shared" si="19"/>
        <v>1</v>
      </c>
      <c r="Q61" s="25"/>
      <c r="R61" s="25">
        <f>SUM(C61:P61)-Q61</f>
        <v>27</v>
      </c>
    </row>
    <row r="62" spans="1:18" x14ac:dyDescent="0.3">
      <c r="A62" s="2"/>
      <c r="B62" s="2" t="s">
        <v>94</v>
      </c>
      <c r="C62" s="6">
        <v>60</v>
      </c>
      <c r="D62" s="6">
        <v>45</v>
      </c>
      <c r="E62" s="6">
        <v>30</v>
      </c>
      <c r="F62" s="6">
        <v>46</v>
      </c>
      <c r="G62" s="6">
        <v>54</v>
      </c>
      <c r="H62" s="6">
        <v>63</v>
      </c>
      <c r="I62" s="6">
        <v>42</v>
      </c>
      <c r="J62" s="6">
        <v>41</v>
      </c>
      <c r="K62" s="6">
        <v>62</v>
      </c>
      <c r="L62" s="6">
        <v>51</v>
      </c>
      <c r="M62" s="6" t="s">
        <v>254</v>
      </c>
      <c r="N62" s="6">
        <v>39</v>
      </c>
      <c r="O62" s="6">
        <v>51</v>
      </c>
      <c r="P62" s="6">
        <v>38</v>
      </c>
      <c r="Q62" s="6">
        <f>SUM(C62:P62)</f>
        <v>622</v>
      </c>
      <c r="R62" s="7">
        <f>Q62/Q63</f>
        <v>0.97339593114240996</v>
      </c>
    </row>
    <row r="63" spans="1:18" x14ac:dyDescent="0.3">
      <c r="A63" s="2"/>
      <c r="B63" s="2" t="s">
        <v>95</v>
      </c>
      <c r="C63" s="6">
        <v>49</v>
      </c>
      <c r="D63" s="6">
        <v>42</v>
      </c>
      <c r="E63" s="6">
        <v>49</v>
      </c>
      <c r="F63" s="6">
        <v>57</v>
      </c>
      <c r="G63" s="6">
        <v>42</v>
      </c>
      <c r="H63" s="6">
        <v>47</v>
      </c>
      <c r="I63" s="6">
        <v>43</v>
      </c>
      <c r="J63" s="6">
        <v>50</v>
      </c>
      <c r="K63" s="6">
        <v>52</v>
      </c>
      <c r="L63" s="6">
        <v>53</v>
      </c>
      <c r="M63" s="6"/>
      <c r="N63" s="6">
        <v>34</v>
      </c>
      <c r="O63" s="6">
        <v>45</v>
      </c>
      <c r="P63" s="6">
        <v>76</v>
      </c>
      <c r="Q63" s="6">
        <f>SUM(C63:P63)</f>
        <v>639</v>
      </c>
      <c r="R63" s="6"/>
    </row>
    <row r="64" spans="1:18" x14ac:dyDescent="0.3">
      <c r="A64" s="3" t="s">
        <v>187</v>
      </c>
      <c r="B64" s="3"/>
      <c r="C64" s="5" t="s">
        <v>33</v>
      </c>
      <c r="D64" s="5" t="s">
        <v>34</v>
      </c>
      <c r="E64" s="5" t="s">
        <v>35</v>
      </c>
      <c r="F64" s="5" t="s">
        <v>36</v>
      </c>
      <c r="G64" s="5" t="s">
        <v>37</v>
      </c>
      <c r="H64" s="5" t="s">
        <v>38</v>
      </c>
      <c r="I64" s="5" t="s">
        <v>39</v>
      </c>
      <c r="J64" s="5" t="s">
        <v>40</v>
      </c>
      <c r="K64" s="5" t="s">
        <v>41</v>
      </c>
      <c r="L64" s="5" t="s">
        <v>42</v>
      </c>
      <c r="M64" s="5" t="s">
        <v>43</v>
      </c>
      <c r="N64" s="5" t="s">
        <v>44</v>
      </c>
      <c r="O64" s="5" t="s">
        <v>45</v>
      </c>
      <c r="P64" s="5" t="s">
        <v>46</v>
      </c>
      <c r="Q64" s="5" t="s">
        <v>93</v>
      </c>
      <c r="R64" s="5" t="s">
        <v>47</v>
      </c>
    </row>
    <row r="65" spans="1:18" x14ac:dyDescent="0.3">
      <c r="A65" s="26" t="s">
        <v>166</v>
      </c>
      <c r="B65" s="24" t="s">
        <v>96</v>
      </c>
      <c r="C65" s="25">
        <f t="shared" ref="C65:P65" si="20">IF(C66=0,0,IF(C66="WOF",3,IF(C66="LOF",0,IF(C66="F",0,IF(C66&gt;C67,3,IF(C66=C67,2,IF(C66&lt;C67,1,"Error")))))))</f>
        <v>3</v>
      </c>
      <c r="D65" s="25">
        <f t="shared" si="20"/>
        <v>3</v>
      </c>
      <c r="E65" s="25">
        <f t="shared" si="20"/>
        <v>1</v>
      </c>
      <c r="F65" s="25">
        <f t="shared" si="20"/>
        <v>1</v>
      </c>
      <c r="G65" s="25">
        <f t="shared" si="20"/>
        <v>1</v>
      </c>
      <c r="H65" s="25">
        <f t="shared" si="20"/>
        <v>1</v>
      </c>
      <c r="I65" s="25">
        <f t="shared" si="20"/>
        <v>3</v>
      </c>
      <c r="J65" s="25">
        <f t="shared" si="20"/>
        <v>1</v>
      </c>
      <c r="K65" s="25">
        <f t="shared" si="20"/>
        <v>1</v>
      </c>
      <c r="L65" s="25">
        <f t="shared" si="20"/>
        <v>1</v>
      </c>
      <c r="M65" s="25">
        <f t="shared" si="20"/>
        <v>1</v>
      </c>
      <c r="N65" s="25">
        <f t="shared" si="20"/>
        <v>1</v>
      </c>
      <c r="O65" s="25">
        <f t="shared" si="20"/>
        <v>1</v>
      </c>
      <c r="P65" s="25">
        <f t="shared" si="20"/>
        <v>1</v>
      </c>
      <c r="Q65" s="25"/>
      <c r="R65" s="25">
        <f>SUM(C65:P65)-Q65</f>
        <v>20</v>
      </c>
    </row>
    <row r="66" spans="1:18" x14ac:dyDescent="0.3">
      <c r="A66" s="4"/>
      <c r="B66" s="2" t="s">
        <v>94</v>
      </c>
      <c r="C66" s="6">
        <v>46</v>
      </c>
      <c r="D66" s="6">
        <v>59</v>
      </c>
      <c r="E66" s="6">
        <v>41</v>
      </c>
      <c r="F66" s="6">
        <v>32</v>
      </c>
      <c r="G66" s="6">
        <v>48</v>
      </c>
      <c r="H66" s="6">
        <v>42</v>
      </c>
      <c r="I66" s="6">
        <v>58</v>
      </c>
      <c r="J66" s="6">
        <v>38</v>
      </c>
      <c r="K66" s="6">
        <v>41</v>
      </c>
      <c r="L66" s="6">
        <v>44</v>
      </c>
      <c r="M66" s="6">
        <v>46</v>
      </c>
      <c r="N66" s="6">
        <v>44</v>
      </c>
      <c r="O66" s="6">
        <v>43</v>
      </c>
      <c r="P66" s="6">
        <v>35</v>
      </c>
      <c r="Q66" s="6">
        <f>SUM(C66:P66)</f>
        <v>617</v>
      </c>
      <c r="R66" s="7">
        <f>Q66/Q67</f>
        <v>0.77512562814070352</v>
      </c>
    </row>
    <row r="67" spans="1:18" x14ac:dyDescent="0.3">
      <c r="A67" s="4"/>
      <c r="B67" s="2" t="s">
        <v>95</v>
      </c>
      <c r="C67" s="6">
        <v>36</v>
      </c>
      <c r="D67" s="6">
        <v>45</v>
      </c>
      <c r="E67" s="6">
        <v>61</v>
      </c>
      <c r="F67" s="6">
        <v>52</v>
      </c>
      <c r="G67" s="6">
        <v>54</v>
      </c>
      <c r="H67" s="6">
        <v>73</v>
      </c>
      <c r="I67" s="6">
        <v>50</v>
      </c>
      <c r="J67" s="6">
        <v>62</v>
      </c>
      <c r="K67" s="6">
        <v>91</v>
      </c>
      <c r="L67" s="6">
        <v>45</v>
      </c>
      <c r="M67" s="6">
        <v>49</v>
      </c>
      <c r="N67" s="6">
        <v>48</v>
      </c>
      <c r="O67" s="6">
        <v>67</v>
      </c>
      <c r="P67" s="6">
        <v>63</v>
      </c>
      <c r="Q67" s="6">
        <f>SUM(C67:P67)</f>
        <v>796</v>
      </c>
      <c r="R67" s="6"/>
    </row>
    <row r="68" spans="1:18" x14ac:dyDescent="0.3">
      <c r="A68" s="26" t="s">
        <v>167</v>
      </c>
      <c r="B68" s="24" t="s">
        <v>96</v>
      </c>
      <c r="C68" s="25">
        <f t="shared" ref="C68:P68" si="21">IF(C69=0,0,IF(C69="WOF",3,IF(C69="LOF",0,IF(C69="F",0,IF(C69&gt;C70,3,IF(C69=C70,2,IF(C69&lt;C70,1,"Error")))))))</f>
        <v>3</v>
      </c>
      <c r="D68" s="25">
        <f t="shared" si="21"/>
        <v>1</v>
      </c>
      <c r="E68" s="25">
        <f t="shared" si="21"/>
        <v>3</v>
      </c>
      <c r="F68" s="25">
        <f t="shared" si="21"/>
        <v>3</v>
      </c>
      <c r="G68" s="25">
        <f t="shared" si="21"/>
        <v>1</v>
      </c>
      <c r="H68" s="25">
        <f t="shared" si="21"/>
        <v>3</v>
      </c>
      <c r="I68" s="25">
        <f t="shared" si="21"/>
        <v>1</v>
      </c>
      <c r="J68" s="25">
        <f t="shared" si="21"/>
        <v>3</v>
      </c>
      <c r="K68" s="25">
        <f t="shared" si="21"/>
        <v>3</v>
      </c>
      <c r="L68" s="25">
        <f t="shared" si="21"/>
        <v>1</v>
      </c>
      <c r="M68" s="25">
        <f t="shared" si="21"/>
        <v>3</v>
      </c>
      <c r="N68" s="25">
        <f t="shared" si="21"/>
        <v>1</v>
      </c>
      <c r="O68" s="25">
        <f t="shared" si="21"/>
        <v>3</v>
      </c>
      <c r="P68" s="25">
        <f t="shared" si="21"/>
        <v>3</v>
      </c>
      <c r="Q68" s="25"/>
      <c r="R68" s="25">
        <f>SUM(C68:P68)-Q68</f>
        <v>32</v>
      </c>
    </row>
    <row r="69" spans="1:18" x14ac:dyDescent="0.3">
      <c r="A69" s="4"/>
      <c r="B69" s="2" t="s">
        <v>94</v>
      </c>
      <c r="C69" s="6">
        <v>62</v>
      </c>
      <c r="D69" s="6">
        <v>25</v>
      </c>
      <c r="E69" s="6">
        <v>61</v>
      </c>
      <c r="F69" s="6">
        <v>58</v>
      </c>
      <c r="G69" s="6">
        <v>41</v>
      </c>
      <c r="H69" s="6">
        <v>78</v>
      </c>
      <c r="I69" s="6">
        <v>41</v>
      </c>
      <c r="J69" s="6">
        <v>62</v>
      </c>
      <c r="K69" s="1">
        <v>67</v>
      </c>
      <c r="L69" s="6">
        <v>39</v>
      </c>
      <c r="M69" s="6">
        <v>74</v>
      </c>
      <c r="N69" s="6">
        <v>33</v>
      </c>
      <c r="O69" s="6">
        <v>67</v>
      </c>
      <c r="P69" s="6">
        <v>65</v>
      </c>
      <c r="Q69" s="6">
        <f>SUM(C69:P69)</f>
        <v>773</v>
      </c>
      <c r="R69" s="7">
        <f>Q69/Q70</f>
        <v>1.1219158200290276</v>
      </c>
    </row>
    <row r="70" spans="1:18" x14ac:dyDescent="0.3">
      <c r="A70" s="4"/>
      <c r="B70" s="2" t="s">
        <v>95</v>
      </c>
      <c r="C70" s="6">
        <v>44</v>
      </c>
      <c r="D70" s="6">
        <v>77</v>
      </c>
      <c r="E70" s="6">
        <v>51</v>
      </c>
      <c r="F70" s="6">
        <v>34</v>
      </c>
      <c r="G70" s="6">
        <v>63</v>
      </c>
      <c r="H70" s="6">
        <v>31</v>
      </c>
      <c r="I70" s="6">
        <v>59</v>
      </c>
      <c r="J70" s="6">
        <v>38</v>
      </c>
      <c r="K70" s="6">
        <v>47</v>
      </c>
      <c r="L70" s="6">
        <v>66</v>
      </c>
      <c r="M70" s="6">
        <v>44</v>
      </c>
      <c r="N70" s="6">
        <v>58</v>
      </c>
      <c r="O70" s="6">
        <v>43</v>
      </c>
      <c r="P70" s="6">
        <v>34</v>
      </c>
      <c r="Q70" s="6">
        <f>SUM(C70:P70)</f>
        <v>689</v>
      </c>
      <c r="R70" s="6"/>
    </row>
    <row r="71" spans="1:18" x14ac:dyDescent="0.3">
      <c r="A71" s="26" t="s">
        <v>169</v>
      </c>
      <c r="B71" s="24" t="s">
        <v>96</v>
      </c>
      <c r="C71" s="25">
        <f t="shared" ref="C71:P71" si="22">IF(C72=0,0,IF(C72="WOF",3,IF(C72="LOF",0,IF(C72="F",0,IF(C72&gt;C73,3,IF(C72=C73,2,IF(C72&lt;C73,1,"Error")))))))</f>
        <v>1</v>
      </c>
      <c r="D71" s="25">
        <f t="shared" si="22"/>
        <v>1</v>
      </c>
      <c r="E71" s="25">
        <f t="shared" si="22"/>
        <v>3</v>
      </c>
      <c r="F71" s="25">
        <f t="shared" si="22"/>
        <v>1</v>
      </c>
      <c r="G71" s="25">
        <f t="shared" si="22"/>
        <v>3</v>
      </c>
      <c r="H71" s="25">
        <f t="shared" si="22"/>
        <v>1</v>
      </c>
      <c r="I71" s="25">
        <f t="shared" si="22"/>
        <v>1</v>
      </c>
      <c r="J71" s="25">
        <f t="shared" si="22"/>
        <v>3</v>
      </c>
      <c r="K71" s="25">
        <f t="shared" si="22"/>
        <v>1</v>
      </c>
      <c r="L71" s="25">
        <f t="shared" si="22"/>
        <v>3</v>
      </c>
      <c r="M71" s="25">
        <f t="shared" si="22"/>
        <v>1</v>
      </c>
      <c r="N71" s="25">
        <f t="shared" si="22"/>
        <v>1</v>
      </c>
      <c r="O71" s="25">
        <f t="shared" si="22"/>
        <v>1</v>
      </c>
      <c r="P71" s="25">
        <f t="shared" si="22"/>
        <v>1</v>
      </c>
      <c r="Q71" s="25"/>
      <c r="R71" s="25">
        <f>SUM(C71:P71)-Q71</f>
        <v>22</v>
      </c>
    </row>
    <row r="72" spans="1:18" x14ac:dyDescent="0.3">
      <c r="A72" s="4"/>
      <c r="B72" s="2" t="s">
        <v>94</v>
      </c>
      <c r="C72" s="6">
        <v>11</v>
      </c>
      <c r="D72" s="6">
        <v>47</v>
      </c>
      <c r="E72" s="6">
        <v>67</v>
      </c>
      <c r="F72" s="6">
        <v>34</v>
      </c>
      <c r="G72" s="6">
        <v>54</v>
      </c>
      <c r="H72" s="6">
        <v>20</v>
      </c>
      <c r="I72" s="6">
        <v>54</v>
      </c>
      <c r="J72" s="6">
        <v>66</v>
      </c>
      <c r="K72" s="6">
        <v>47</v>
      </c>
      <c r="L72" s="6">
        <v>45</v>
      </c>
      <c r="M72" s="6">
        <v>31</v>
      </c>
      <c r="N72" s="6">
        <v>44</v>
      </c>
      <c r="O72" s="6">
        <v>47</v>
      </c>
      <c r="P72" s="6">
        <v>34</v>
      </c>
      <c r="Q72" s="6">
        <f>SUM(C72:P72)</f>
        <v>601</v>
      </c>
      <c r="R72" s="7">
        <f>Q72/Q73</f>
        <v>0.66262403528114666</v>
      </c>
    </row>
    <row r="73" spans="1:18" x14ac:dyDescent="0.3">
      <c r="A73" s="4"/>
      <c r="B73" s="2" t="s">
        <v>95</v>
      </c>
      <c r="C73" s="6">
        <v>107</v>
      </c>
      <c r="D73" s="6">
        <v>59</v>
      </c>
      <c r="E73" s="6">
        <v>51</v>
      </c>
      <c r="F73" s="6">
        <v>58</v>
      </c>
      <c r="G73" s="6">
        <v>48</v>
      </c>
      <c r="H73" s="6">
        <v>103</v>
      </c>
      <c r="I73" s="6">
        <v>57</v>
      </c>
      <c r="J73" s="6">
        <v>35</v>
      </c>
      <c r="K73" s="6">
        <v>67</v>
      </c>
      <c r="L73" s="6">
        <v>44</v>
      </c>
      <c r="M73" s="6">
        <v>71</v>
      </c>
      <c r="N73" s="6">
        <v>68</v>
      </c>
      <c r="O73" s="6">
        <v>74</v>
      </c>
      <c r="P73" s="6">
        <v>65</v>
      </c>
      <c r="Q73" s="6">
        <f>SUM(C73:P73)</f>
        <v>907</v>
      </c>
      <c r="R73" s="6"/>
    </row>
    <row r="74" spans="1:18" x14ac:dyDescent="0.3">
      <c r="A74" s="26" t="s">
        <v>168</v>
      </c>
      <c r="B74" s="24" t="s">
        <v>96</v>
      </c>
      <c r="C74" s="25">
        <f t="shared" ref="C74:P74" si="23">IF(C75=0,0,IF(C75="WOF",3,IF(C75="LOF",0,IF(C75="F",0,IF(C75&gt;C76,3,IF(C75=C76,2,IF(C75&lt;C76,1,"Error")))))))</f>
        <v>3</v>
      </c>
      <c r="D74" s="25">
        <f t="shared" si="23"/>
        <v>3</v>
      </c>
      <c r="E74" s="25">
        <f t="shared" si="23"/>
        <v>3</v>
      </c>
      <c r="F74" s="25">
        <f t="shared" si="23"/>
        <v>3</v>
      </c>
      <c r="G74" s="25">
        <f t="shared" si="23"/>
        <v>3</v>
      </c>
      <c r="H74" s="25">
        <f t="shared" si="23"/>
        <v>3</v>
      </c>
      <c r="I74" s="25">
        <f t="shared" si="23"/>
        <v>3</v>
      </c>
      <c r="J74" s="25">
        <f t="shared" si="23"/>
        <v>3</v>
      </c>
      <c r="K74" s="25">
        <f t="shared" si="23"/>
        <v>3</v>
      </c>
      <c r="L74" s="25">
        <f t="shared" si="23"/>
        <v>3</v>
      </c>
      <c r="M74" s="25">
        <f t="shared" si="23"/>
        <v>3</v>
      </c>
      <c r="N74" s="25">
        <f t="shared" si="23"/>
        <v>3</v>
      </c>
      <c r="O74" s="25">
        <f t="shared" si="23"/>
        <v>3</v>
      </c>
      <c r="P74" s="25">
        <f t="shared" si="23"/>
        <v>3</v>
      </c>
      <c r="Q74" s="25"/>
      <c r="R74" s="25">
        <f>SUM(C74:P74)-Q74</f>
        <v>42</v>
      </c>
    </row>
    <row r="75" spans="1:18" x14ac:dyDescent="0.3">
      <c r="A75" s="4"/>
      <c r="B75" s="2" t="s">
        <v>94</v>
      </c>
      <c r="C75" s="6">
        <v>107</v>
      </c>
      <c r="D75" s="6">
        <v>77</v>
      </c>
      <c r="E75" s="6">
        <v>102</v>
      </c>
      <c r="F75" s="6">
        <v>52</v>
      </c>
      <c r="G75" s="6">
        <v>62</v>
      </c>
      <c r="H75" s="6">
        <v>103</v>
      </c>
      <c r="I75" s="6">
        <v>59</v>
      </c>
      <c r="J75" s="6">
        <v>87</v>
      </c>
      <c r="K75" s="6">
        <v>91</v>
      </c>
      <c r="L75" s="6">
        <v>70</v>
      </c>
      <c r="M75" s="6">
        <v>71</v>
      </c>
      <c r="N75" s="6">
        <v>58</v>
      </c>
      <c r="O75" s="6">
        <v>80</v>
      </c>
      <c r="P75" s="6">
        <v>63</v>
      </c>
      <c r="Q75" s="6">
        <f>SUM(C75:P75)</f>
        <v>1082</v>
      </c>
      <c r="R75" s="7">
        <f>Q75/Q76</f>
        <v>2.3470715835140998</v>
      </c>
    </row>
    <row r="76" spans="1:18" x14ac:dyDescent="0.3">
      <c r="A76" s="4"/>
      <c r="B76" s="2" t="s">
        <v>95</v>
      </c>
      <c r="C76" s="6">
        <v>11</v>
      </c>
      <c r="D76" s="6">
        <v>25</v>
      </c>
      <c r="E76" s="6">
        <v>32</v>
      </c>
      <c r="F76" s="6">
        <v>32</v>
      </c>
      <c r="G76" s="6">
        <v>49</v>
      </c>
      <c r="H76" s="6">
        <v>20</v>
      </c>
      <c r="I76" s="6">
        <v>41</v>
      </c>
      <c r="J76" s="6">
        <v>33</v>
      </c>
      <c r="K76" s="6">
        <v>41</v>
      </c>
      <c r="L76" s="6">
        <v>40</v>
      </c>
      <c r="M76" s="6">
        <v>31</v>
      </c>
      <c r="N76" s="6">
        <v>33</v>
      </c>
      <c r="O76" s="6">
        <v>38</v>
      </c>
      <c r="P76" s="6">
        <v>35</v>
      </c>
      <c r="Q76" s="6">
        <f>SUM(C76:P76)</f>
        <v>461</v>
      </c>
      <c r="R76" s="6"/>
    </row>
    <row r="77" spans="1:18" x14ac:dyDescent="0.3">
      <c r="A77" s="24" t="s">
        <v>174</v>
      </c>
      <c r="B77" s="24" t="s">
        <v>96</v>
      </c>
      <c r="C77" s="25">
        <f t="shared" ref="C77:P77" si="24">IF(C78=0,0,IF(C78="WOF",3,IF(C78="F",0,IF(C78&gt;C79,3,IF(C78=C79,2,IF(C78&lt;C79,1,"Error"))))))</f>
        <v>1</v>
      </c>
      <c r="D77" s="25">
        <f t="shared" si="24"/>
        <v>3</v>
      </c>
      <c r="E77" s="25">
        <f t="shared" si="24"/>
        <v>1</v>
      </c>
      <c r="F77" s="25">
        <f t="shared" si="24"/>
        <v>3</v>
      </c>
      <c r="G77" s="25">
        <f t="shared" si="24"/>
        <v>3</v>
      </c>
      <c r="H77" s="25">
        <f t="shared" si="24"/>
        <v>3</v>
      </c>
      <c r="I77" s="25">
        <f t="shared" si="24"/>
        <v>3</v>
      </c>
      <c r="J77" s="25">
        <f t="shared" si="24"/>
        <v>1</v>
      </c>
      <c r="K77" s="25">
        <f t="shared" si="24"/>
        <v>1</v>
      </c>
      <c r="L77" s="25">
        <f t="shared" si="24"/>
        <v>3</v>
      </c>
      <c r="M77" s="25">
        <f t="shared" si="24"/>
        <v>3</v>
      </c>
      <c r="N77" s="25">
        <f t="shared" si="24"/>
        <v>3</v>
      </c>
      <c r="O77" s="25">
        <f t="shared" si="24"/>
        <v>1</v>
      </c>
      <c r="P77" s="25">
        <f t="shared" si="24"/>
        <v>1</v>
      </c>
      <c r="Q77" s="25"/>
      <c r="R77" s="25">
        <f>SUM(C77:P77)-Q77</f>
        <v>30</v>
      </c>
    </row>
    <row r="78" spans="1:18" x14ac:dyDescent="0.3">
      <c r="A78" s="2"/>
      <c r="B78" s="2" t="s">
        <v>94</v>
      </c>
      <c r="C78" s="6">
        <v>36</v>
      </c>
      <c r="D78" s="6">
        <v>59</v>
      </c>
      <c r="E78" s="6">
        <v>32</v>
      </c>
      <c r="F78" s="6">
        <v>88</v>
      </c>
      <c r="G78" s="6">
        <v>63</v>
      </c>
      <c r="H78" s="6">
        <v>73</v>
      </c>
      <c r="I78" s="6">
        <v>57</v>
      </c>
      <c r="J78" s="6">
        <v>33</v>
      </c>
      <c r="K78" s="6">
        <v>50</v>
      </c>
      <c r="L78" s="6">
        <v>66</v>
      </c>
      <c r="M78" s="6">
        <v>49</v>
      </c>
      <c r="N78" s="6">
        <v>68</v>
      </c>
      <c r="O78" s="6">
        <v>38</v>
      </c>
      <c r="P78" s="6">
        <v>54</v>
      </c>
      <c r="Q78" s="6">
        <f>SUM(C78:P78)</f>
        <v>766</v>
      </c>
      <c r="R78" s="7">
        <f>Q78/Q79</f>
        <v>0.979539641943734</v>
      </c>
    </row>
    <row r="79" spans="1:18" x14ac:dyDescent="0.3">
      <c r="A79" s="2"/>
      <c r="B79" s="2" t="s">
        <v>95</v>
      </c>
      <c r="C79" s="6">
        <v>46</v>
      </c>
      <c r="D79" s="6">
        <v>47</v>
      </c>
      <c r="E79" s="6">
        <v>102</v>
      </c>
      <c r="F79" s="6">
        <v>43</v>
      </c>
      <c r="G79" s="6">
        <v>41</v>
      </c>
      <c r="H79" s="6">
        <v>42</v>
      </c>
      <c r="I79" s="6">
        <v>54</v>
      </c>
      <c r="J79" s="6">
        <v>87</v>
      </c>
      <c r="K79" s="6">
        <v>60</v>
      </c>
      <c r="L79" s="6">
        <v>39</v>
      </c>
      <c r="M79" s="6">
        <v>41</v>
      </c>
      <c r="N79" s="6">
        <v>44</v>
      </c>
      <c r="O79" s="6">
        <v>80</v>
      </c>
      <c r="P79" s="6">
        <v>56</v>
      </c>
      <c r="Q79" s="6">
        <f>SUM(C79:P79)</f>
        <v>782</v>
      </c>
      <c r="R79" s="6"/>
    </row>
    <row r="80" spans="1:18" x14ac:dyDescent="0.3">
      <c r="A80" s="26" t="s">
        <v>170</v>
      </c>
      <c r="B80" s="24" t="s">
        <v>96</v>
      </c>
      <c r="C80" s="25">
        <f>IF(C81=0,0,IF(C81="WOF",3,IF(C81="LOF",0,IF(C81="F",0,IF(C81&gt;C82,3,IF(C81=C82,2,IF(C81&lt;C82,1,"Error")))))))</f>
        <v>1</v>
      </c>
      <c r="D80" s="25">
        <f>IF(D81=0,0,IF(D81="WOF",3,IF(D81="LOF",0,IF(D81="F",0,IF(D81&gt;D82,3,IF(D81=D82,2,IF(D81&lt;D82,1,"Error")))))))</f>
        <v>1</v>
      </c>
      <c r="E80" s="25">
        <f>IF(E81=0,0,IF(E81="WOF",3,IF(E81="LOF",0,IF(E81="F",0,IF(E81&gt;E82,3,IF(E81=E82,2,IF(E81&lt;E82,1,"Error")))))))</f>
        <v>1</v>
      </c>
      <c r="F80" s="25">
        <f t="shared" ref="F80:P80" si="25">IF(F81=0,0,IF(F81="WOF",3,IF(F81="LOF",0,IF(F81="F",0,IF(F81&gt;F82,3,IF(F81=F82,2,IF(F81&lt;F82,1,"Error")))))))</f>
        <v>1</v>
      </c>
      <c r="G80" s="25">
        <f t="shared" si="25"/>
        <v>1</v>
      </c>
      <c r="H80" s="25">
        <f t="shared" si="25"/>
        <v>1</v>
      </c>
      <c r="I80" s="25">
        <f t="shared" si="25"/>
        <v>1</v>
      </c>
      <c r="J80" s="25">
        <f t="shared" si="25"/>
        <v>1</v>
      </c>
      <c r="K80" s="25">
        <f t="shared" si="25"/>
        <v>3</v>
      </c>
      <c r="L80" s="25">
        <f t="shared" si="25"/>
        <v>1</v>
      </c>
      <c r="M80" s="25">
        <f t="shared" si="25"/>
        <v>1</v>
      </c>
      <c r="N80" s="25">
        <f t="shared" si="25"/>
        <v>3</v>
      </c>
      <c r="O80" s="25">
        <f t="shared" si="25"/>
        <v>3</v>
      </c>
      <c r="P80" s="25">
        <f t="shared" si="25"/>
        <v>3</v>
      </c>
      <c r="Q80" s="25"/>
      <c r="R80" s="25">
        <f>SUM(C80:P80)-Q80</f>
        <v>22</v>
      </c>
    </row>
    <row r="81" spans="1:18" x14ac:dyDescent="0.3">
      <c r="A81" s="4"/>
      <c r="B81" s="2" t="s">
        <v>94</v>
      </c>
      <c r="C81" s="6">
        <v>44</v>
      </c>
      <c r="D81" s="6">
        <v>45</v>
      </c>
      <c r="E81" s="6">
        <v>51</v>
      </c>
      <c r="F81" s="6">
        <v>43</v>
      </c>
      <c r="G81" s="6">
        <v>49</v>
      </c>
      <c r="H81" s="6">
        <v>31</v>
      </c>
      <c r="I81" s="6">
        <v>50</v>
      </c>
      <c r="J81" s="6">
        <v>35</v>
      </c>
      <c r="K81" s="6">
        <v>60</v>
      </c>
      <c r="L81" s="6">
        <v>40</v>
      </c>
      <c r="M81" s="6">
        <v>44</v>
      </c>
      <c r="N81" s="6">
        <v>46</v>
      </c>
      <c r="O81" s="6">
        <v>74</v>
      </c>
      <c r="P81" s="6">
        <v>56</v>
      </c>
      <c r="Q81" s="6">
        <f>SUM(C81:P81)</f>
        <v>668</v>
      </c>
      <c r="R81" s="7">
        <f>Q81/Q82</f>
        <v>0.75995449374288959</v>
      </c>
    </row>
    <row r="82" spans="1:18" x14ac:dyDescent="0.3">
      <c r="A82" s="4"/>
      <c r="B82" s="2" t="s">
        <v>95</v>
      </c>
      <c r="C82" s="6">
        <v>62</v>
      </c>
      <c r="D82" s="6">
        <v>59</v>
      </c>
      <c r="E82" s="6">
        <v>67</v>
      </c>
      <c r="F82" s="6">
        <v>88</v>
      </c>
      <c r="G82" s="6">
        <v>62</v>
      </c>
      <c r="H82" s="6">
        <v>78</v>
      </c>
      <c r="I82" s="6">
        <v>58</v>
      </c>
      <c r="J82" s="6">
        <v>66</v>
      </c>
      <c r="K82" s="6">
        <v>50</v>
      </c>
      <c r="L82" s="6">
        <v>70</v>
      </c>
      <c r="M82" s="6">
        <v>74</v>
      </c>
      <c r="N82" s="6">
        <v>44</v>
      </c>
      <c r="O82" s="6">
        <v>47</v>
      </c>
      <c r="P82" s="6">
        <v>54</v>
      </c>
      <c r="Q82" s="6">
        <f>SUM(C82:P82)</f>
        <v>879</v>
      </c>
      <c r="R82" s="6"/>
    </row>
    <row r="83" spans="1:18" x14ac:dyDescent="0.3">
      <c r="A83" s="3" t="s">
        <v>284</v>
      </c>
      <c r="B83" s="3"/>
      <c r="C83" s="5" t="s">
        <v>33</v>
      </c>
      <c r="D83" s="5" t="s">
        <v>34</v>
      </c>
      <c r="E83" s="5" t="s">
        <v>35</v>
      </c>
      <c r="F83" s="5" t="s">
        <v>36</v>
      </c>
      <c r="G83" s="5" t="s">
        <v>37</v>
      </c>
      <c r="H83" s="5" t="s">
        <v>38</v>
      </c>
      <c r="I83" s="5" t="s">
        <v>39</v>
      </c>
      <c r="J83" s="5" t="s">
        <v>40</v>
      </c>
      <c r="K83" s="5" t="s">
        <v>41</v>
      </c>
      <c r="L83" s="5" t="s">
        <v>42</v>
      </c>
      <c r="M83" s="5" t="s">
        <v>43</v>
      </c>
      <c r="N83" s="5" t="s">
        <v>44</v>
      </c>
      <c r="O83" s="5" t="s">
        <v>45</v>
      </c>
      <c r="P83" s="5" t="s">
        <v>46</v>
      </c>
      <c r="Q83" s="5" t="s">
        <v>93</v>
      </c>
      <c r="R83" s="5" t="s">
        <v>47</v>
      </c>
    </row>
    <row r="84" spans="1:18" x14ac:dyDescent="0.3">
      <c r="A84" s="26" t="s">
        <v>279</v>
      </c>
      <c r="B84" s="24" t="s">
        <v>96</v>
      </c>
      <c r="C84" s="25">
        <f t="shared" ref="C84:P84" si="26">IF(C85=0,0,IF(C85="WOF",3,IF(C85="LOF",0,IF(C85="F",0,IF(C85&gt;C86,3,IF(C85=C86,2,IF(C85&lt;C86,1,"Error")))))))</f>
        <v>3</v>
      </c>
      <c r="D84" s="25">
        <f t="shared" si="26"/>
        <v>1</v>
      </c>
      <c r="E84" s="25">
        <f t="shared" si="26"/>
        <v>3</v>
      </c>
      <c r="F84" s="25">
        <f t="shared" si="26"/>
        <v>3</v>
      </c>
      <c r="G84" s="25">
        <f t="shared" si="26"/>
        <v>3</v>
      </c>
      <c r="H84" s="25">
        <f t="shared" si="26"/>
        <v>3</v>
      </c>
      <c r="I84" s="25">
        <f t="shared" si="26"/>
        <v>0</v>
      </c>
      <c r="J84" s="25">
        <f t="shared" si="26"/>
        <v>3</v>
      </c>
      <c r="K84" s="25">
        <f t="shared" si="26"/>
        <v>0</v>
      </c>
      <c r="L84" s="25">
        <f t="shared" si="26"/>
        <v>0</v>
      </c>
      <c r="M84" s="25">
        <f t="shared" si="26"/>
        <v>0</v>
      </c>
      <c r="N84" s="25">
        <f t="shared" si="26"/>
        <v>0</v>
      </c>
      <c r="O84" s="25">
        <f t="shared" si="26"/>
        <v>0</v>
      </c>
      <c r="P84" s="25">
        <f t="shared" si="26"/>
        <v>0</v>
      </c>
      <c r="Q84" s="25"/>
      <c r="R84" s="25">
        <f>SUM(C84:P84)-Q84</f>
        <v>19</v>
      </c>
    </row>
    <row r="85" spans="1:18" x14ac:dyDescent="0.3">
      <c r="A85" s="4"/>
      <c r="B85" s="2" t="s">
        <v>94</v>
      </c>
      <c r="C85" s="6">
        <v>71</v>
      </c>
      <c r="D85" s="6">
        <v>36</v>
      </c>
      <c r="E85" s="6" t="s">
        <v>171</v>
      </c>
      <c r="F85" s="6">
        <v>45</v>
      </c>
      <c r="G85" s="6">
        <v>87</v>
      </c>
      <c r="H85" s="6">
        <v>52</v>
      </c>
      <c r="I85" s="6" t="s">
        <v>254</v>
      </c>
      <c r="J85" s="6" t="s">
        <v>171</v>
      </c>
      <c r="K85" s="6"/>
      <c r="L85" s="6"/>
      <c r="M85" s="6"/>
      <c r="N85" s="6"/>
      <c r="O85" s="6"/>
      <c r="P85" s="6"/>
      <c r="Q85" s="6">
        <f>SUM(C85:P85)</f>
        <v>291</v>
      </c>
      <c r="R85" s="7">
        <f>Q85/Q86</f>
        <v>1.5561497326203209</v>
      </c>
    </row>
    <row r="86" spans="1:18" x14ac:dyDescent="0.3">
      <c r="A86" s="4"/>
      <c r="B86" s="2" t="s">
        <v>95</v>
      </c>
      <c r="C86" s="6">
        <v>35</v>
      </c>
      <c r="D86" s="6">
        <v>62</v>
      </c>
      <c r="E86" s="6"/>
      <c r="F86" s="6">
        <v>37</v>
      </c>
      <c r="G86" s="6">
        <v>27</v>
      </c>
      <c r="H86" s="6">
        <v>26</v>
      </c>
      <c r="I86" s="6"/>
      <c r="J86" s="6"/>
      <c r="K86" s="6"/>
      <c r="L86" s="6"/>
      <c r="M86" s="6"/>
      <c r="N86" s="6"/>
      <c r="O86" s="6"/>
      <c r="P86" s="6"/>
      <c r="Q86" s="6">
        <f>SUM(C86:P86)</f>
        <v>187</v>
      </c>
      <c r="R86" s="6"/>
    </row>
    <row r="87" spans="1:18" x14ac:dyDescent="0.3">
      <c r="A87" s="26" t="s">
        <v>276</v>
      </c>
      <c r="B87" s="24" t="s">
        <v>96</v>
      </c>
      <c r="C87" s="25">
        <f t="shared" ref="C87:P87" si="27">IF(C88=0,0,IF(C88="WOF",3,IF(C88="LOF",0,IF(C88="F",0,IF(C88&gt;C89,3,IF(C88=C89,2,IF(C88&lt;C89,1,"Error")))))))</f>
        <v>1</v>
      </c>
      <c r="D87" s="25">
        <f t="shared" si="27"/>
        <v>1</v>
      </c>
      <c r="E87" s="25">
        <f t="shared" si="27"/>
        <v>1</v>
      </c>
      <c r="F87" s="25">
        <f t="shared" si="27"/>
        <v>3</v>
      </c>
      <c r="G87" s="25">
        <f t="shared" si="27"/>
        <v>1</v>
      </c>
      <c r="H87" s="25">
        <f t="shared" si="27"/>
        <v>1</v>
      </c>
      <c r="I87" s="25">
        <f t="shared" si="27"/>
        <v>1</v>
      </c>
      <c r="J87" s="25">
        <f t="shared" si="27"/>
        <v>1</v>
      </c>
      <c r="K87" s="25">
        <f t="shared" si="27"/>
        <v>0</v>
      </c>
      <c r="L87" s="25">
        <f t="shared" si="27"/>
        <v>0</v>
      </c>
      <c r="M87" s="25">
        <f t="shared" si="27"/>
        <v>0</v>
      </c>
      <c r="N87" s="25">
        <f t="shared" si="27"/>
        <v>0</v>
      </c>
      <c r="O87" s="25">
        <f t="shared" si="27"/>
        <v>0</v>
      </c>
      <c r="P87" s="25">
        <f t="shared" si="27"/>
        <v>0</v>
      </c>
      <c r="Q87" s="25"/>
      <c r="R87" s="25">
        <f>SUM(C87:P87)-Q87</f>
        <v>10</v>
      </c>
    </row>
    <row r="88" spans="1:18" x14ac:dyDescent="0.3">
      <c r="A88" s="4"/>
      <c r="B88" s="2" t="s">
        <v>94</v>
      </c>
      <c r="C88" s="6">
        <v>37</v>
      </c>
      <c r="D88" s="6">
        <v>31</v>
      </c>
      <c r="E88" s="6">
        <v>26</v>
      </c>
      <c r="F88" s="6" t="s">
        <v>171</v>
      </c>
      <c r="G88" s="6">
        <v>19</v>
      </c>
      <c r="H88" s="6">
        <v>26</v>
      </c>
      <c r="I88" s="6">
        <v>32</v>
      </c>
      <c r="J88" s="6">
        <v>47</v>
      </c>
      <c r="K88" s="6"/>
      <c r="L88" s="6"/>
      <c r="M88" s="6"/>
      <c r="N88" s="6"/>
      <c r="O88" s="6"/>
      <c r="P88" s="6"/>
      <c r="Q88" s="6">
        <f>SUM(C88:P88)</f>
        <v>218</v>
      </c>
      <c r="R88" s="7">
        <f>Q88/Q89</f>
        <v>0.51781472684085506</v>
      </c>
    </row>
    <row r="89" spans="1:18" x14ac:dyDescent="0.3">
      <c r="A89" s="4"/>
      <c r="B89" s="2" t="s">
        <v>95</v>
      </c>
      <c r="C89" s="6">
        <v>46</v>
      </c>
      <c r="D89" s="6">
        <v>70</v>
      </c>
      <c r="E89" s="6">
        <v>60</v>
      </c>
      <c r="F89" s="6"/>
      <c r="G89" s="6">
        <v>76</v>
      </c>
      <c r="H89" s="6">
        <v>52</v>
      </c>
      <c r="I89" s="6">
        <v>59</v>
      </c>
      <c r="J89" s="6">
        <v>58</v>
      </c>
      <c r="K89" s="6"/>
      <c r="L89" s="6"/>
      <c r="M89" s="6"/>
      <c r="N89" s="6"/>
      <c r="O89" s="6"/>
      <c r="P89" s="6"/>
      <c r="Q89" s="6">
        <f>SUM(C89:P89)</f>
        <v>421</v>
      </c>
      <c r="R89" s="6"/>
    </row>
    <row r="90" spans="1:18" x14ac:dyDescent="0.3">
      <c r="A90" s="24" t="s">
        <v>277</v>
      </c>
      <c r="B90" s="24" t="s">
        <v>96</v>
      </c>
      <c r="C90" s="25">
        <f t="shared" ref="C90:P90" si="28">IF(C91=0,0,IF(C91="WOF",3,IF(C91="LOF",0,IF(C91="F",0,IF(C91&gt;C92,3,IF(C91=C92,2,IF(C91&lt;C92,1,"Error")))))))</f>
        <v>3</v>
      </c>
      <c r="D90" s="25">
        <f t="shared" si="28"/>
        <v>3</v>
      </c>
      <c r="E90" s="25">
        <f t="shared" si="28"/>
        <v>1</v>
      </c>
      <c r="F90" s="25">
        <f t="shared" si="28"/>
        <v>1</v>
      </c>
      <c r="G90" s="25">
        <f t="shared" si="28"/>
        <v>3</v>
      </c>
      <c r="H90" s="25">
        <f t="shared" si="28"/>
        <v>3</v>
      </c>
      <c r="I90" s="25">
        <f t="shared" si="28"/>
        <v>3</v>
      </c>
      <c r="J90" s="25">
        <f t="shared" si="28"/>
        <v>1</v>
      </c>
      <c r="K90" s="25">
        <f t="shared" si="28"/>
        <v>0</v>
      </c>
      <c r="L90" s="25">
        <f t="shared" si="28"/>
        <v>0</v>
      </c>
      <c r="M90" s="25">
        <f t="shared" si="28"/>
        <v>0</v>
      </c>
      <c r="N90" s="25">
        <f t="shared" si="28"/>
        <v>0</v>
      </c>
      <c r="O90" s="25">
        <f t="shared" si="28"/>
        <v>0</v>
      </c>
      <c r="P90" s="25">
        <f t="shared" si="28"/>
        <v>0</v>
      </c>
      <c r="Q90" s="25"/>
      <c r="R90" s="25">
        <f>SUM(C90:P90)-Q90</f>
        <v>18</v>
      </c>
    </row>
    <row r="91" spans="1:18" x14ac:dyDescent="0.3">
      <c r="A91" s="4"/>
      <c r="B91" s="2" t="s">
        <v>94</v>
      </c>
      <c r="C91" s="6">
        <v>46</v>
      </c>
      <c r="D91" s="6">
        <v>70</v>
      </c>
      <c r="E91" s="6">
        <v>42</v>
      </c>
      <c r="F91" s="6">
        <v>7</v>
      </c>
      <c r="G91" s="6" t="s">
        <v>171</v>
      </c>
      <c r="H91" s="6">
        <v>55</v>
      </c>
      <c r="I91" s="6">
        <v>59</v>
      </c>
      <c r="J91" s="1">
        <v>32</v>
      </c>
      <c r="K91" s="6"/>
      <c r="L91" s="6"/>
      <c r="M91" s="6"/>
      <c r="N91" s="6"/>
      <c r="O91" s="6"/>
      <c r="P91" s="6"/>
      <c r="Q91" s="6">
        <f>SUM(C91:P91)</f>
        <v>311</v>
      </c>
      <c r="R91" s="7">
        <f>Q91/Q92</f>
        <v>1.0836236933797909</v>
      </c>
    </row>
    <row r="92" spans="1:18" x14ac:dyDescent="0.3">
      <c r="A92" s="4"/>
      <c r="B92" s="2" t="s">
        <v>95</v>
      </c>
      <c r="C92" s="6">
        <v>37</v>
      </c>
      <c r="D92" s="6">
        <v>31</v>
      </c>
      <c r="E92" s="6">
        <v>51</v>
      </c>
      <c r="F92" s="6">
        <v>45</v>
      </c>
      <c r="G92" s="6"/>
      <c r="H92" s="6">
        <v>38</v>
      </c>
      <c r="I92" s="6">
        <v>32</v>
      </c>
      <c r="J92" s="1">
        <v>53</v>
      </c>
      <c r="K92" s="6"/>
      <c r="L92" s="6"/>
      <c r="M92" s="6"/>
      <c r="N92" s="6"/>
      <c r="O92" s="6"/>
      <c r="P92" s="6"/>
      <c r="Q92" s="6">
        <f>SUM(C92:P92)</f>
        <v>287</v>
      </c>
      <c r="R92" s="6"/>
    </row>
    <row r="93" spans="1:18" x14ac:dyDescent="0.3">
      <c r="A93" s="26" t="s">
        <v>280</v>
      </c>
      <c r="B93" s="24" t="s">
        <v>96</v>
      </c>
      <c r="C93" s="25">
        <f t="shared" ref="C93:P93" si="29">IF(C94=0,0,IF(C94="WOF",3,IF(C94="LOF",0,IF(C94="F",0,IF(C94&gt;C95,3,IF(C94=C95,2,IF(C94&lt;C95,1,"Error")))))))</f>
        <v>3</v>
      </c>
      <c r="D93" s="25">
        <f t="shared" si="29"/>
        <v>3</v>
      </c>
      <c r="E93" s="25">
        <f t="shared" si="29"/>
        <v>3</v>
      </c>
      <c r="F93" s="25">
        <f t="shared" si="29"/>
        <v>3</v>
      </c>
      <c r="G93" s="25">
        <f t="shared" si="29"/>
        <v>3</v>
      </c>
      <c r="H93" s="25">
        <f t="shared" si="29"/>
        <v>3</v>
      </c>
      <c r="I93" s="25">
        <f t="shared" si="29"/>
        <v>3</v>
      </c>
      <c r="J93" s="25">
        <f t="shared" si="29"/>
        <v>3</v>
      </c>
      <c r="K93" s="25">
        <f t="shared" si="29"/>
        <v>0</v>
      </c>
      <c r="L93" s="25">
        <f t="shared" si="29"/>
        <v>0</v>
      </c>
      <c r="M93" s="25">
        <f t="shared" si="29"/>
        <v>0</v>
      </c>
      <c r="N93" s="25">
        <f t="shared" si="29"/>
        <v>0</v>
      </c>
      <c r="O93" s="25">
        <f t="shared" si="29"/>
        <v>0</v>
      </c>
      <c r="P93" s="25">
        <f t="shared" si="29"/>
        <v>0</v>
      </c>
      <c r="Q93" s="25"/>
      <c r="R93" s="25">
        <f>SUM(C93:P93)-Q93</f>
        <v>24</v>
      </c>
    </row>
    <row r="94" spans="1:18" x14ac:dyDescent="0.3">
      <c r="A94" s="4"/>
      <c r="B94" s="2" t="s">
        <v>94</v>
      </c>
      <c r="C94" s="6" t="s">
        <v>171</v>
      </c>
      <c r="D94" s="6">
        <v>62</v>
      </c>
      <c r="E94" s="6">
        <v>51</v>
      </c>
      <c r="F94" s="6">
        <v>52</v>
      </c>
      <c r="G94" s="6">
        <v>76</v>
      </c>
      <c r="H94" s="6" t="s">
        <v>171</v>
      </c>
      <c r="I94" s="6" t="s">
        <v>253</v>
      </c>
      <c r="J94" s="6">
        <v>53</v>
      </c>
      <c r="K94" s="6"/>
      <c r="L94" s="6"/>
      <c r="M94" s="6"/>
      <c r="N94" s="6"/>
      <c r="O94" s="6"/>
      <c r="P94" s="6"/>
      <c r="Q94" s="6">
        <f>SUM(C94:P94)</f>
        <v>294</v>
      </c>
      <c r="R94" s="7">
        <f>Q94/Q95</f>
        <v>1.6610169491525424</v>
      </c>
    </row>
    <row r="95" spans="1:18" x14ac:dyDescent="0.3">
      <c r="A95" s="4"/>
      <c r="B95" s="2" t="s">
        <v>95</v>
      </c>
      <c r="C95" s="6"/>
      <c r="D95" s="6">
        <v>36</v>
      </c>
      <c r="E95" s="6">
        <v>42</v>
      </c>
      <c r="F95" s="6">
        <v>48</v>
      </c>
      <c r="G95" s="6">
        <v>19</v>
      </c>
      <c r="H95" s="6"/>
      <c r="I95" s="6"/>
      <c r="J95" s="6">
        <v>32</v>
      </c>
      <c r="K95" s="6"/>
      <c r="L95" s="6"/>
      <c r="M95" s="6"/>
      <c r="N95" s="6"/>
      <c r="O95" s="6"/>
      <c r="P95" s="6"/>
      <c r="Q95" s="6">
        <f>SUM(C95:P95)</f>
        <v>177</v>
      </c>
      <c r="R95" s="6"/>
    </row>
    <row r="96" spans="1:18" x14ac:dyDescent="0.3">
      <c r="A96" s="26" t="s">
        <v>278</v>
      </c>
      <c r="B96" s="24" t="s">
        <v>96</v>
      </c>
      <c r="C96" s="25">
        <f t="shared" ref="C96:P96" si="30">IF(C97=0,0,IF(C97="WOF",3,IF(C97="F",0,IF(C97&gt;C98,3,IF(C97=C98,2,IF(C97&lt;C98,1,"Error"))))))</f>
        <v>1</v>
      </c>
      <c r="D96" s="25">
        <f t="shared" si="30"/>
        <v>3</v>
      </c>
      <c r="E96" s="25">
        <f t="shared" si="30"/>
        <v>3</v>
      </c>
      <c r="F96" s="25">
        <f t="shared" si="30"/>
        <v>1</v>
      </c>
      <c r="G96" s="25">
        <f t="shared" si="30"/>
        <v>1</v>
      </c>
      <c r="H96" s="25">
        <f t="shared" si="30"/>
        <v>1</v>
      </c>
      <c r="I96" s="25">
        <f t="shared" si="30"/>
        <v>3</v>
      </c>
      <c r="J96" s="25">
        <f t="shared" si="30"/>
        <v>3</v>
      </c>
      <c r="K96" s="25">
        <f t="shared" si="30"/>
        <v>0</v>
      </c>
      <c r="L96" s="25">
        <f t="shared" si="30"/>
        <v>0</v>
      </c>
      <c r="M96" s="25">
        <f t="shared" si="30"/>
        <v>0</v>
      </c>
      <c r="N96" s="25">
        <f t="shared" si="30"/>
        <v>0</v>
      </c>
      <c r="O96" s="25">
        <f t="shared" si="30"/>
        <v>0</v>
      </c>
      <c r="P96" s="25">
        <f t="shared" si="30"/>
        <v>0</v>
      </c>
      <c r="Q96" s="25"/>
      <c r="R96" s="25">
        <f>SUM(C96:P96)-Q96</f>
        <v>16</v>
      </c>
    </row>
    <row r="97" spans="1:18" x14ac:dyDescent="0.3">
      <c r="A97" s="2"/>
      <c r="B97" s="2" t="s">
        <v>94</v>
      </c>
      <c r="C97" s="6">
        <v>35</v>
      </c>
      <c r="D97" s="6" t="s">
        <v>171</v>
      </c>
      <c r="E97" s="6">
        <v>60</v>
      </c>
      <c r="F97" s="6">
        <v>48</v>
      </c>
      <c r="G97" s="6">
        <v>27</v>
      </c>
      <c r="H97" s="6">
        <v>38</v>
      </c>
      <c r="I97" s="6" t="s">
        <v>171</v>
      </c>
      <c r="J97" s="6">
        <v>58</v>
      </c>
      <c r="K97" s="6"/>
      <c r="L97" s="6"/>
      <c r="M97" s="6"/>
      <c r="N97" s="6"/>
      <c r="O97" s="6"/>
      <c r="P97" s="6"/>
      <c r="Q97" s="6">
        <f>SUM(C97:P97)</f>
        <v>266</v>
      </c>
      <c r="R97" s="7">
        <f>Q97/Q98</f>
        <v>0.78698224852071008</v>
      </c>
    </row>
    <row r="98" spans="1:18" x14ac:dyDescent="0.3">
      <c r="A98" s="2"/>
      <c r="B98" s="2" t="s">
        <v>95</v>
      </c>
      <c r="C98" s="6">
        <v>71</v>
      </c>
      <c r="D98" s="6"/>
      <c r="E98" s="6">
        <v>26</v>
      </c>
      <c r="F98" s="6">
        <v>52</v>
      </c>
      <c r="G98" s="6">
        <v>87</v>
      </c>
      <c r="H98" s="6">
        <v>55</v>
      </c>
      <c r="I98" s="6"/>
      <c r="J98" s="6">
        <v>47</v>
      </c>
      <c r="K98" s="6"/>
      <c r="L98" s="6"/>
      <c r="M98" s="6"/>
      <c r="N98" s="6"/>
      <c r="O98" s="6"/>
      <c r="P98" s="6"/>
      <c r="Q98" s="6">
        <f>SUM(C98:P98)</f>
        <v>338</v>
      </c>
      <c r="R98" s="6"/>
    </row>
  </sheetData>
  <sortState xmlns:xlrd2="http://schemas.microsoft.com/office/spreadsheetml/2017/richdata2" ref="W32:Y37">
    <sortCondition descending="1" ref="W32:W37"/>
    <sortCondition descending="1" ref="X32:X37"/>
  </sortState>
  <mergeCells count="1">
    <mergeCell ref="T1:Y1"/>
  </mergeCells>
  <phoneticPr fontId="2" type="noConversion"/>
  <conditionalFormatting sqref="Q2 Q5 Q8 Q11 Q14 Q17 Q20 Q24 Q27 Q30 Q33 Q36 Q39 Q42 Q46 Q49 Q52 Q55 Q58 Q61 Q68 Q65 Q71 Q74 Q77 Q80">
    <cfRule type="cellIs" dxfId="6" priority="2" operator="greaterThan">
      <formula>0</formula>
    </cfRule>
  </conditionalFormatting>
  <conditionalFormatting sqref="Q87 Q84 Q90 Q93 Q96">
    <cfRule type="cellIs" dxfId="5" priority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85E87-771B-4035-8F65-D672B08BC939}">
  <sheetPr codeName="Sheet6"/>
  <dimension ref="A2:X40"/>
  <sheetViews>
    <sheetView topLeftCell="H22" workbookViewId="0">
      <selection activeCell="U33" sqref="U33"/>
    </sheetView>
  </sheetViews>
  <sheetFormatPr defaultColWidth="10.6640625" defaultRowHeight="20.25" customHeight="1" x14ac:dyDescent="0.3"/>
  <cols>
    <col min="1" max="1" width="14.33203125" style="52" bestFit="1" customWidth="1"/>
    <col min="2" max="2" width="12.44140625" style="52" bestFit="1" customWidth="1"/>
    <col min="3" max="3" width="9.109375" style="52" bestFit="1" customWidth="1"/>
    <col min="4" max="5" width="11.6640625" style="52" bestFit="1" customWidth="1"/>
    <col min="6" max="6" width="16.109375" style="52" bestFit="1" customWidth="1"/>
    <col min="7" max="7" width="7.33203125" style="52" bestFit="1" customWidth="1"/>
    <col min="8" max="8" width="14.33203125" style="52" bestFit="1" customWidth="1"/>
    <col min="9" max="9" width="10.6640625" style="52" bestFit="1" customWidth="1"/>
    <col min="10" max="10" width="11.109375" style="52" bestFit="1" customWidth="1"/>
    <col min="11" max="11" width="10" style="52" bestFit="1" customWidth="1"/>
    <col min="12" max="12" width="7.33203125" style="52" bestFit="1" customWidth="1"/>
    <col min="13" max="13" width="8.6640625" style="52" bestFit="1" customWidth="1"/>
    <col min="14" max="14" width="12.6640625" style="52" bestFit="1" customWidth="1"/>
    <col min="15" max="15" width="10.5546875" style="52" bestFit="1" customWidth="1"/>
    <col min="16" max="16" width="8.5546875" style="52" bestFit="1" customWidth="1"/>
    <col min="17" max="16384" width="10.6640625" style="52"/>
  </cols>
  <sheetData>
    <row r="2" spans="1:16" ht="20.25" customHeight="1" x14ac:dyDescent="0.3">
      <c r="A2" s="47"/>
      <c r="B2" s="142" t="s">
        <v>117</v>
      </c>
      <c r="C2" s="142"/>
      <c r="D2" s="142"/>
      <c r="E2" s="142"/>
      <c r="F2" s="142"/>
      <c r="G2" s="142"/>
      <c r="H2" s="142"/>
      <c r="I2" s="47"/>
      <c r="J2" s="143" t="s">
        <v>118</v>
      </c>
      <c r="K2" s="143"/>
      <c r="L2" s="143"/>
      <c r="M2" s="143"/>
      <c r="N2" s="143"/>
      <c r="O2" s="143"/>
      <c r="P2" s="143"/>
    </row>
    <row r="3" spans="1:16" ht="20.25" customHeight="1" x14ac:dyDescent="0.3">
      <c r="A3" s="47"/>
      <c r="B3" s="47" t="s">
        <v>188</v>
      </c>
      <c r="C3" s="47" t="s">
        <v>133</v>
      </c>
      <c r="D3" s="47" t="s">
        <v>121</v>
      </c>
      <c r="E3" s="47" t="s">
        <v>4</v>
      </c>
      <c r="F3" s="47" t="s">
        <v>180</v>
      </c>
      <c r="G3" s="47" t="s">
        <v>154</v>
      </c>
      <c r="H3" s="47" t="s">
        <v>124</v>
      </c>
      <c r="I3" s="47"/>
      <c r="J3" s="47" t="s">
        <v>152</v>
      </c>
      <c r="K3" s="47" t="s">
        <v>181</v>
      </c>
      <c r="L3" s="47" t="s">
        <v>182</v>
      </c>
      <c r="M3" s="47" t="s">
        <v>115</v>
      </c>
      <c r="N3" s="47" t="s">
        <v>183</v>
      </c>
      <c r="O3" s="47" t="s">
        <v>184</v>
      </c>
      <c r="P3" s="47" t="s">
        <v>151</v>
      </c>
    </row>
    <row r="4" spans="1:16" ht="20.25" customHeight="1" x14ac:dyDescent="0.3">
      <c r="A4" s="47" t="s">
        <v>33</v>
      </c>
      <c r="B4" s="47" t="s">
        <v>190</v>
      </c>
      <c r="C4" s="47" t="s">
        <v>120</v>
      </c>
      <c r="D4" s="47" t="s">
        <v>137</v>
      </c>
      <c r="E4" s="47" t="s">
        <v>171</v>
      </c>
      <c r="F4" s="47" t="s">
        <v>191</v>
      </c>
      <c r="G4" s="47" t="s">
        <v>142</v>
      </c>
      <c r="H4" s="47" t="s">
        <v>135</v>
      </c>
      <c r="I4" s="47" t="s">
        <v>33</v>
      </c>
      <c r="J4" s="47" t="s">
        <v>139</v>
      </c>
      <c r="K4" s="47" t="s">
        <v>171</v>
      </c>
      <c r="L4" s="47" t="s">
        <v>192</v>
      </c>
      <c r="M4" s="47" t="s">
        <v>140</v>
      </c>
      <c r="N4" s="47" t="s">
        <v>193</v>
      </c>
      <c r="O4" s="47" t="s">
        <v>141</v>
      </c>
      <c r="P4" s="47" t="s">
        <v>144</v>
      </c>
    </row>
    <row r="5" spans="1:16" ht="20.25" customHeight="1" x14ac:dyDescent="0.3">
      <c r="A5" s="47" t="s">
        <v>34</v>
      </c>
      <c r="B5" s="47" t="s">
        <v>171</v>
      </c>
      <c r="C5" s="47" t="s">
        <v>120</v>
      </c>
      <c r="D5" s="47" t="s">
        <v>142</v>
      </c>
      <c r="E5" s="47" t="s">
        <v>208</v>
      </c>
      <c r="F5" s="47" t="s">
        <v>211</v>
      </c>
      <c r="G5" s="47" t="s">
        <v>209</v>
      </c>
      <c r="H5" s="47" t="s">
        <v>210</v>
      </c>
      <c r="I5" s="47" t="s">
        <v>34</v>
      </c>
      <c r="J5" s="47" t="s">
        <v>171</v>
      </c>
      <c r="K5" s="47" t="s">
        <v>219</v>
      </c>
      <c r="L5" s="47" t="s">
        <v>221</v>
      </c>
      <c r="M5" s="47" t="s">
        <v>216</v>
      </c>
      <c r="N5" s="47" t="s">
        <v>217</v>
      </c>
      <c r="O5" s="47" t="s">
        <v>220</v>
      </c>
      <c r="P5" s="47" t="s">
        <v>218</v>
      </c>
    </row>
    <row r="6" spans="1:16" ht="20.25" customHeight="1" x14ac:dyDescent="0.3">
      <c r="A6" s="47" t="s">
        <v>35</v>
      </c>
      <c r="B6" s="47" t="s">
        <v>232</v>
      </c>
      <c r="C6" s="47" t="s">
        <v>171</v>
      </c>
      <c r="D6" s="47" t="s">
        <v>240</v>
      </c>
      <c r="E6" s="47" t="s">
        <v>208</v>
      </c>
      <c r="F6" s="47" t="s">
        <v>238</v>
      </c>
      <c r="G6" s="47" t="s">
        <v>239</v>
      </c>
      <c r="H6" s="47" t="s">
        <v>231</v>
      </c>
      <c r="I6" s="47" t="s">
        <v>35</v>
      </c>
      <c r="J6" s="47" t="s">
        <v>230</v>
      </c>
      <c r="K6" s="47" t="s">
        <v>219</v>
      </c>
      <c r="L6" s="47" t="s">
        <v>171</v>
      </c>
      <c r="M6" s="47" t="s">
        <v>237</v>
      </c>
      <c r="N6" s="47" t="s">
        <v>236</v>
      </c>
      <c r="O6" s="47" t="s">
        <v>141</v>
      </c>
      <c r="P6" s="47" t="s">
        <v>218</v>
      </c>
    </row>
    <row r="7" spans="1:16" ht="20.25" customHeight="1" x14ac:dyDescent="0.3">
      <c r="A7" s="47" t="s">
        <v>36</v>
      </c>
      <c r="B7" s="47" t="s">
        <v>190</v>
      </c>
      <c r="C7" s="47" t="s">
        <v>246</v>
      </c>
      <c r="D7" s="47" t="s">
        <v>142</v>
      </c>
      <c r="E7" s="47" t="s">
        <v>208</v>
      </c>
      <c r="F7" s="47" t="s">
        <v>238</v>
      </c>
      <c r="G7" s="47" t="s">
        <v>239</v>
      </c>
      <c r="H7" s="47" t="s">
        <v>171</v>
      </c>
      <c r="I7" s="47" t="s">
        <v>36</v>
      </c>
      <c r="J7" s="47" t="s">
        <v>136</v>
      </c>
      <c r="K7" s="47" t="s">
        <v>242</v>
      </c>
      <c r="L7" s="47" t="s">
        <v>221</v>
      </c>
      <c r="M7" s="47" t="s">
        <v>241</v>
      </c>
      <c r="N7" s="47" t="s">
        <v>193</v>
      </c>
      <c r="O7" s="47" t="s">
        <v>243</v>
      </c>
      <c r="P7" s="47" t="s">
        <v>171</v>
      </c>
    </row>
    <row r="8" spans="1:16" ht="20.25" customHeight="1" x14ac:dyDescent="0.3">
      <c r="A8" s="47" t="s">
        <v>37</v>
      </c>
      <c r="B8" s="47" t="s">
        <v>251</v>
      </c>
      <c r="C8" s="47" t="s">
        <v>247</v>
      </c>
      <c r="D8" s="47" t="s">
        <v>171</v>
      </c>
      <c r="E8" s="47" t="s">
        <v>120</v>
      </c>
      <c r="F8" s="47" t="s">
        <v>238</v>
      </c>
      <c r="G8" s="47" t="s">
        <v>239</v>
      </c>
      <c r="H8" s="47" t="s">
        <v>231</v>
      </c>
      <c r="I8" s="47" t="s">
        <v>37</v>
      </c>
      <c r="J8" s="47" t="s">
        <v>136</v>
      </c>
      <c r="K8" s="47" t="s">
        <v>252</v>
      </c>
      <c r="L8" s="47" t="s">
        <v>192</v>
      </c>
      <c r="M8" s="47" t="s">
        <v>171</v>
      </c>
      <c r="N8" s="47" t="s">
        <v>236</v>
      </c>
      <c r="O8" s="47" t="s">
        <v>191</v>
      </c>
      <c r="P8" s="47" t="s">
        <v>218</v>
      </c>
    </row>
    <row r="9" spans="1:16" ht="20.25" customHeight="1" x14ac:dyDescent="0.3">
      <c r="A9" s="47" t="s">
        <v>38</v>
      </c>
      <c r="B9" s="47" t="s">
        <v>251</v>
      </c>
      <c r="C9" s="47" t="s">
        <v>246</v>
      </c>
      <c r="D9" s="47" t="s">
        <v>240</v>
      </c>
      <c r="E9" s="47" t="s">
        <v>208</v>
      </c>
      <c r="F9" s="47" t="s">
        <v>238</v>
      </c>
      <c r="G9" s="47" t="s">
        <v>171</v>
      </c>
      <c r="H9" s="47" t="s">
        <v>227</v>
      </c>
      <c r="I9" s="47" t="s">
        <v>38</v>
      </c>
      <c r="J9" s="47" t="s">
        <v>136</v>
      </c>
      <c r="K9" s="47" t="s">
        <v>258</v>
      </c>
      <c r="L9" s="47" t="s">
        <v>221</v>
      </c>
      <c r="M9" s="47" t="s">
        <v>204</v>
      </c>
      <c r="N9" s="47" t="s">
        <v>171</v>
      </c>
      <c r="O9" s="47" t="s">
        <v>220</v>
      </c>
      <c r="P9" s="47" t="s">
        <v>218</v>
      </c>
    </row>
    <row r="10" spans="1:16" ht="20.25" customHeight="1" x14ac:dyDescent="0.3">
      <c r="A10" s="47" t="s">
        <v>39</v>
      </c>
      <c r="B10" s="47" t="s">
        <v>232</v>
      </c>
      <c r="C10" s="47" t="s">
        <v>120</v>
      </c>
      <c r="D10" s="47" t="s">
        <v>260</v>
      </c>
      <c r="E10" s="47" t="s">
        <v>208</v>
      </c>
      <c r="F10" s="47" t="s">
        <v>171</v>
      </c>
      <c r="G10" s="47" t="s">
        <v>142</v>
      </c>
      <c r="H10" s="47" t="s">
        <v>206</v>
      </c>
      <c r="I10" s="47" t="s">
        <v>39</v>
      </c>
      <c r="J10" s="47" t="s">
        <v>230</v>
      </c>
      <c r="K10" s="47" t="s">
        <v>242</v>
      </c>
      <c r="L10" s="47" t="s">
        <v>192</v>
      </c>
      <c r="M10" s="47" t="s">
        <v>237</v>
      </c>
      <c r="N10" s="47" t="s">
        <v>217</v>
      </c>
      <c r="O10" s="47" t="s">
        <v>171</v>
      </c>
      <c r="P10" s="47" t="s">
        <v>261</v>
      </c>
    </row>
    <row r="11" spans="1:16" ht="20.25" customHeight="1" x14ac:dyDescent="0.3">
      <c r="A11" s="47" t="s">
        <v>40</v>
      </c>
      <c r="B11" s="47" t="s">
        <v>232</v>
      </c>
      <c r="C11" s="47" t="s">
        <v>265</v>
      </c>
      <c r="D11" s="47" t="s">
        <v>240</v>
      </c>
      <c r="E11" s="47" t="s">
        <v>171</v>
      </c>
      <c r="F11" s="47" t="s">
        <v>264</v>
      </c>
      <c r="G11" s="47" t="s">
        <v>209</v>
      </c>
      <c r="H11" s="47" t="s">
        <v>135</v>
      </c>
      <c r="I11" s="47" t="s">
        <v>40</v>
      </c>
      <c r="J11" s="47" t="s">
        <v>139</v>
      </c>
      <c r="K11" s="47" t="s">
        <v>171</v>
      </c>
      <c r="L11" s="47" t="s">
        <v>192</v>
      </c>
      <c r="M11" s="47" t="s">
        <v>204</v>
      </c>
      <c r="N11" s="47" t="s">
        <v>217</v>
      </c>
      <c r="O11" s="47" t="s">
        <v>266</v>
      </c>
      <c r="P11" s="47" t="s">
        <v>248</v>
      </c>
    </row>
    <row r="12" spans="1:16" ht="20.25" customHeight="1" x14ac:dyDescent="0.3">
      <c r="A12" s="47" t="s">
        <v>41</v>
      </c>
      <c r="B12" s="47" t="s">
        <v>171</v>
      </c>
      <c r="C12" s="47" t="s">
        <v>120</v>
      </c>
      <c r="D12" s="47" t="s">
        <v>240</v>
      </c>
      <c r="E12" s="47" t="s">
        <v>271</v>
      </c>
      <c r="F12" s="47" t="s">
        <v>238</v>
      </c>
      <c r="G12" s="47" t="s">
        <v>270</v>
      </c>
      <c r="H12" s="47" t="s">
        <v>231</v>
      </c>
      <c r="I12" s="47" t="s">
        <v>41</v>
      </c>
      <c r="J12" s="47" t="s">
        <v>171</v>
      </c>
      <c r="K12" s="47" t="s">
        <v>242</v>
      </c>
      <c r="L12" s="47" t="s">
        <v>192</v>
      </c>
      <c r="M12" s="47" t="s">
        <v>204</v>
      </c>
      <c r="N12" s="47" t="s">
        <v>211</v>
      </c>
      <c r="O12" s="47" t="s">
        <v>272</v>
      </c>
      <c r="P12" s="47" t="s">
        <v>261</v>
      </c>
    </row>
    <row r="13" spans="1:16" ht="20.25" customHeight="1" x14ac:dyDescent="0.3">
      <c r="A13" s="47" t="s">
        <v>42</v>
      </c>
      <c r="B13" s="47" t="s">
        <v>256</v>
      </c>
      <c r="C13" s="47" t="s">
        <v>171</v>
      </c>
      <c r="D13" s="47" t="s">
        <v>240</v>
      </c>
      <c r="E13" s="47" t="s">
        <v>271</v>
      </c>
      <c r="F13" s="47" t="s">
        <v>211</v>
      </c>
      <c r="G13" s="47" t="s">
        <v>239</v>
      </c>
      <c r="H13" s="47" t="s">
        <v>274</v>
      </c>
      <c r="I13" s="47" t="s">
        <v>42</v>
      </c>
      <c r="J13" s="47" t="s">
        <v>139</v>
      </c>
      <c r="K13" s="47" t="s">
        <v>273</v>
      </c>
      <c r="L13" s="47" t="s">
        <v>171</v>
      </c>
      <c r="M13" s="47" t="s">
        <v>140</v>
      </c>
      <c r="N13" s="47" t="s">
        <v>217</v>
      </c>
      <c r="O13" s="47" t="s">
        <v>220</v>
      </c>
      <c r="P13" s="47" t="s">
        <v>261</v>
      </c>
    </row>
    <row r="14" spans="1:16" ht="20.25" customHeight="1" x14ac:dyDescent="0.3">
      <c r="A14" s="47" t="s">
        <v>43</v>
      </c>
      <c r="B14" s="47" t="s">
        <v>256</v>
      </c>
      <c r="C14" s="47" t="s">
        <v>120</v>
      </c>
      <c r="D14" s="47" t="s">
        <v>137</v>
      </c>
      <c r="E14" s="47" t="s">
        <v>290</v>
      </c>
      <c r="F14" s="47" t="s">
        <v>217</v>
      </c>
      <c r="G14" s="47" t="s">
        <v>289</v>
      </c>
      <c r="H14" s="47" t="s">
        <v>171</v>
      </c>
      <c r="I14" s="47" t="s">
        <v>43</v>
      </c>
      <c r="J14" s="47" t="s">
        <v>230</v>
      </c>
      <c r="K14" s="47" t="s">
        <v>219</v>
      </c>
      <c r="L14" s="47" t="s">
        <v>225</v>
      </c>
      <c r="M14" s="47" t="s">
        <v>241</v>
      </c>
      <c r="N14" s="47" t="s">
        <v>236</v>
      </c>
      <c r="O14" s="47" t="s">
        <v>220</v>
      </c>
      <c r="P14" s="47" t="s">
        <v>171</v>
      </c>
    </row>
    <row r="15" spans="1:16" ht="20.25" customHeight="1" x14ac:dyDescent="0.3">
      <c r="A15" s="47" t="s">
        <v>44</v>
      </c>
      <c r="B15" s="47" t="s">
        <v>232</v>
      </c>
      <c r="C15" s="47" t="s">
        <v>292</v>
      </c>
      <c r="D15" s="47" t="s">
        <v>171</v>
      </c>
      <c r="E15" s="47" t="s">
        <v>208</v>
      </c>
      <c r="F15" s="47" t="s">
        <v>238</v>
      </c>
      <c r="G15" s="47" t="s">
        <v>142</v>
      </c>
      <c r="H15" s="47" t="s">
        <v>206</v>
      </c>
      <c r="I15" s="47" t="s">
        <v>44</v>
      </c>
      <c r="J15" s="47" t="s">
        <v>139</v>
      </c>
      <c r="K15" s="47" t="s">
        <v>258</v>
      </c>
      <c r="L15" s="47" t="s">
        <v>293</v>
      </c>
      <c r="M15" s="47" t="s">
        <v>171</v>
      </c>
      <c r="N15" s="47" t="s">
        <v>217</v>
      </c>
      <c r="O15" s="47" t="s">
        <v>266</v>
      </c>
      <c r="P15" s="47" t="s">
        <v>294</v>
      </c>
    </row>
    <row r="16" spans="1:16" ht="20.25" customHeight="1" x14ac:dyDescent="0.3">
      <c r="A16" s="47" t="s">
        <v>45</v>
      </c>
      <c r="B16" s="47" t="s">
        <v>190</v>
      </c>
      <c r="C16" s="47" t="s">
        <v>120</v>
      </c>
      <c r="D16" s="47" t="s">
        <v>142</v>
      </c>
      <c r="E16" s="47" t="s">
        <v>208</v>
      </c>
      <c r="F16" s="47" t="s">
        <v>238</v>
      </c>
      <c r="G16" s="47" t="s">
        <v>171</v>
      </c>
      <c r="H16" s="47" t="s">
        <v>231</v>
      </c>
      <c r="I16" s="47" t="s">
        <v>45</v>
      </c>
      <c r="J16" s="47" t="s">
        <v>139</v>
      </c>
      <c r="K16" s="47" t="s">
        <v>273</v>
      </c>
      <c r="L16" s="47" t="s">
        <v>293</v>
      </c>
      <c r="M16" s="47" t="s">
        <v>140</v>
      </c>
      <c r="N16" s="47" t="s">
        <v>171</v>
      </c>
      <c r="O16" s="47" t="s">
        <v>223</v>
      </c>
      <c r="P16" s="47" t="s">
        <v>296</v>
      </c>
    </row>
    <row r="17" spans="1:24" ht="20.25" customHeight="1" x14ac:dyDescent="0.3">
      <c r="A17" s="47" t="s">
        <v>46</v>
      </c>
      <c r="B17" s="47" t="s">
        <v>298</v>
      </c>
      <c r="C17" s="47" t="s">
        <v>246</v>
      </c>
      <c r="D17" s="47" t="s">
        <v>260</v>
      </c>
      <c r="E17" s="47" t="s">
        <v>208</v>
      </c>
      <c r="F17" s="47" t="s">
        <v>171</v>
      </c>
      <c r="G17" s="47" t="s">
        <v>209</v>
      </c>
      <c r="H17" s="47" t="s">
        <v>227</v>
      </c>
      <c r="I17" s="47" t="s">
        <v>46</v>
      </c>
      <c r="J17" s="47" t="s">
        <v>230</v>
      </c>
      <c r="K17" s="47" t="s">
        <v>273</v>
      </c>
      <c r="L17" s="47" t="s">
        <v>192</v>
      </c>
      <c r="M17" s="47" t="s">
        <v>140</v>
      </c>
      <c r="N17" s="47" t="s">
        <v>297</v>
      </c>
      <c r="O17" s="47" t="s">
        <v>171</v>
      </c>
      <c r="P17" s="47" t="s">
        <v>296</v>
      </c>
    </row>
    <row r="18" spans="1:24" ht="20.25" customHeight="1" x14ac:dyDescent="0.3">
      <c r="A18" s="118" t="s">
        <v>48</v>
      </c>
      <c r="B18" s="118" t="str" cm="1">
        <f t="array" ref="B18">_xlfn.SINGLE(INDEX(B4:B17,MODE(MATCH(B4:B17,B4:B17,0))))</f>
        <v>Travis</v>
      </c>
      <c r="C18" s="118" t="str" cm="1">
        <f t="array" ref="C18">_xlfn.SINGLE(INDEX(C4:C17,MODE(MATCH(C4:C17,C4:C17,0))))</f>
        <v>Stacey</v>
      </c>
      <c r="D18" s="118" t="str" cm="1">
        <f t="array" ref="D18">_xlfn.SINGLE(INDEX(D4:D17,MODE(MATCH(D4:D17,D4:D17,0))))</f>
        <v>Sarah</v>
      </c>
      <c r="E18" s="118" t="str" cm="1">
        <f t="array" ref="E18">_xlfn.SINGLE(INDEX(E4:E17,MODE(MATCH(E4:E17,E4:E17,0))))</f>
        <v>Gabby</v>
      </c>
      <c r="F18" s="118" t="str" cm="1">
        <f t="array" ref="F18">_xlfn.SINGLE(INDEX(F4:F17,MODE(MATCH(F4:F17,F4:F17,0))))</f>
        <v>Shaun</v>
      </c>
      <c r="G18" s="118" t="str" cm="1">
        <f t="array" ref="G18">_xlfn.SINGLE(INDEX(G4:G17,MODE(MATCH(G4:G17,G4:G17,0))))</f>
        <v>Lyka</v>
      </c>
      <c r="H18" s="118" t="str" cm="1">
        <f t="array" ref="H18">_xlfn.SINGLE(INDEX(H4:H17,MODE(MATCH(H4:H17,H4:H17,0))))</f>
        <v>Jared</v>
      </c>
      <c r="I18" s="119" t="s">
        <v>48</v>
      </c>
      <c r="J18" s="119" t="str" cm="1">
        <f t="array" ref="J18">_xlfn.SINGLE(INDEX(J4:J17,MODE(MATCH(J4:J17,J4:J17,0))))</f>
        <v>Emily</v>
      </c>
      <c r="K18" s="119" t="str" cm="1">
        <f t="array" ref="K18">_xlfn.SINGLE(INDEX(K4:K17,MODE(MATCH(K4:K17,K4:K17,0))))</f>
        <v>Walter</v>
      </c>
      <c r="L18" s="119" t="str" cm="1">
        <f t="array" ref="L18">_xlfn.SINGLE(INDEX(L4:L17,MODE(MATCH(L4:L17,L4:L17,0))))</f>
        <v>Kia</v>
      </c>
      <c r="M18" s="119" t="str" cm="1">
        <f t="array" ref="M18">_xlfn.SINGLE(INDEX(M4:M17,MODE(MATCH(M4:M17,M4:M17,0))))</f>
        <v>Summer</v>
      </c>
      <c r="N18" s="119" t="str" cm="1">
        <f t="array" ref="N18">_xlfn.SINGLE(INDEX(N4:N17,MODE(MATCH(N4:N17,N4:N17,0))))</f>
        <v>Rick</v>
      </c>
      <c r="O18" s="119" t="str" cm="1">
        <f t="array" ref="O18">_xlfn.SINGLE(INDEX(O4:O17,MODE(MATCH(O4:O17,O4:O17,0))))</f>
        <v>Wendy</v>
      </c>
      <c r="P18" s="119" t="str" cm="1">
        <f t="array" ref="P18">_xlfn.SINGLE(INDEX(P4:P17,MODE(MATCH(P4:P17,P4:P17,0))))</f>
        <v>Jai</v>
      </c>
    </row>
    <row r="19" spans="1:24" ht="20.25" customHeight="1" x14ac:dyDescent="0.3">
      <c r="A19" s="118">
        <f>MAX(B19:H19)</f>
        <v>8</v>
      </c>
      <c r="B19" s="47">
        <f t="shared" ref="B19:H19" si="0">COUNTIF(B4:B17,B18)</f>
        <v>4</v>
      </c>
      <c r="C19" s="47">
        <f t="shared" si="0"/>
        <v>6</v>
      </c>
      <c r="D19" s="47">
        <f t="shared" si="0"/>
        <v>5</v>
      </c>
      <c r="E19" s="47">
        <f t="shared" si="0"/>
        <v>8</v>
      </c>
      <c r="F19" s="47">
        <f t="shared" si="0"/>
        <v>7</v>
      </c>
      <c r="G19" s="47">
        <f t="shared" si="0"/>
        <v>4</v>
      </c>
      <c r="H19" s="47">
        <f t="shared" si="0"/>
        <v>4</v>
      </c>
      <c r="I19" s="119">
        <f>MAX(J19:P19)</f>
        <v>6</v>
      </c>
      <c r="J19" s="47">
        <f t="shared" ref="J19:P19" si="1">COUNTIF(J4:J17,J18)</f>
        <v>5</v>
      </c>
      <c r="K19" s="47">
        <f t="shared" si="1"/>
        <v>3</v>
      </c>
      <c r="L19" s="47">
        <f t="shared" si="1"/>
        <v>6</v>
      </c>
      <c r="M19" s="47">
        <f t="shared" si="1"/>
        <v>4</v>
      </c>
      <c r="N19" s="47">
        <f t="shared" si="1"/>
        <v>5</v>
      </c>
      <c r="O19" s="47">
        <f t="shared" si="1"/>
        <v>4</v>
      </c>
      <c r="P19" s="47">
        <f t="shared" si="1"/>
        <v>4</v>
      </c>
    </row>
    <row r="23" spans="1:24" ht="20.25" customHeight="1" x14ac:dyDescent="0.3">
      <c r="A23" s="47"/>
      <c r="B23" s="142" t="s">
        <v>185</v>
      </c>
      <c r="C23" s="142"/>
      <c r="D23" s="142"/>
      <c r="E23" s="142"/>
      <c r="F23" s="142"/>
      <c r="G23" s="142"/>
      <c r="H23" s="142"/>
      <c r="I23" s="47"/>
      <c r="J23" s="143" t="s">
        <v>189</v>
      </c>
      <c r="K23" s="143"/>
      <c r="L23" s="143"/>
      <c r="M23" s="143"/>
      <c r="N23" s="143"/>
      <c r="O23" s="143"/>
      <c r="P23" s="143"/>
      <c r="Q23" s="47"/>
      <c r="R23" s="143" t="s">
        <v>285</v>
      </c>
      <c r="S23" s="143"/>
      <c r="T23" s="143"/>
      <c r="U23" s="143"/>
      <c r="V23" s="143"/>
      <c r="W23" s="143"/>
      <c r="X23" s="143"/>
    </row>
    <row r="24" spans="1:24" ht="20.25" customHeight="1" x14ac:dyDescent="0.3">
      <c r="A24" s="47"/>
      <c r="B24" s="47" t="s">
        <v>176</v>
      </c>
      <c r="C24" s="47" t="s">
        <v>150</v>
      </c>
      <c r="D24" s="47" t="s">
        <v>148</v>
      </c>
      <c r="E24" s="47" t="s">
        <v>177</v>
      </c>
      <c r="F24" s="47" t="s">
        <v>130</v>
      </c>
      <c r="G24" s="47" t="s">
        <v>5</v>
      </c>
      <c r="H24" s="47"/>
      <c r="I24" s="47"/>
      <c r="J24" s="47" t="s">
        <v>166</v>
      </c>
      <c r="K24" s="47" t="s">
        <v>167</v>
      </c>
      <c r="L24" s="47" t="s">
        <v>169</v>
      </c>
      <c r="M24" s="47" t="s">
        <v>168</v>
      </c>
      <c r="N24" s="47" t="s">
        <v>174</v>
      </c>
      <c r="O24" s="47" t="s">
        <v>170</v>
      </c>
      <c r="P24" s="47"/>
      <c r="Q24" s="47"/>
      <c r="R24" s="47" t="s">
        <v>279</v>
      </c>
      <c r="S24" s="47" t="s">
        <v>276</v>
      </c>
      <c r="T24" s="47" t="s">
        <v>277</v>
      </c>
      <c r="U24" s="47" t="s">
        <v>280</v>
      </c>
      <c r="V24" s="47" t="s">
        <v>278</v>
      </c>
      <c r="W24" s="47"/>
      <c r="X24" s="47"/>
    </row>
    <row r="25" spans="1:24" ht="20.25" customHeight="1" x14ac:dyDescent="0.3">
      <c r="A25" s="47" t="s">
        <v>33</v>
      </c>
      <c r="B25" s="47" t="s">
        <v>138</v>
      </c>
      <c r="C25" s="47" t="s">
        <v>194</v>
      </c>
      <c r="D25" s="47" t="s">
        <v>195</v>
      </c>
      <c r="E25" s="47" t="s">
        <v>136</v>
      </c>
      <c r="F25" s="47" t="s">
        <v>196</v>
      </c>
      <c r="G25" s="47" t="s">
        <v>119</v>
      </c>
      <c r="H25" s="47"/>
      <c r="I25" s="47" t="s">
        <v>33</v>
      </c>
      <c r="J25" s="47" t="s">
        <v>199</v>
      </c>
      <c r="K25" s="47" t="s">
        <v>200</v>
      </c>
      <c r="L25" s="47" t="s">
        <v>197</v>
      </c>
      <c r="M25" s="47" t="s">
        <v>144</v>
      </c>
      <c r="N25" s="47" t="s">
        <v>198</v>
      </c>
      <c r="O25" s="47" t="s">
        <v>201</v>
      </c>
      <c r="P25" s="47"/>
      <c r="Q25" s="47" t="s">
        <v>33</v>
      </c>
      <c r="R25" s="47" t="s">
        <v>171</v>
      </c>
      <c r="S25" s="47" t="s">
        <v>221</v>
      </c>
      <c r="T25" s="47" t="s">
        <v>286</v>
      </c>
      <c r="U25" s="47" t="s">
        <v>247</v>
      </c>
      <c r="V25" s="47" t="s">
        <v>191</v>
      </c>
      <c r="W25" s="47"/>
      <c r="X25" s="47"/>
    </row>
    <row r="26" spans="1:24" ht="20.25" customHeight="1" x14ac:dyDescent="0.3">
      <c r="A26" s="47" t="s">
        <v>34</v>
      </c>
      <c r="B26" s="47" t="s">
        <v>213</v>
      </c>
      <c r="C26" s="47" t="s">
        <v>194</v>
      </c>
      <c r="D26" s="47" t="s">
        <v>214</v>
      </c>
      <c r="E26" s="47" t="s">
        <v>202</v>
      </c>
      <c r="F26" s="47" t="s">
        <v>215</v>
      </c>
      <c r="G26" s="47" t="s">
        <v>212</v>
      </c>
      <c r="H26" s="47"/>
      <c r="I26" s="47" t="s">
        <v>34</v>
      </c>
      <c r="J26" s="47" t="s">
        <v>202</v>
      </c>
      <c r="K26" s="47" t="s">
        <v>206</v>
      </c>
      <c r="L26" s="47" t="s">
        <v>205</v>
      </c>
      <c r="M26" s="47" t="s">
        <v>207</v>
      </c>
      <c r="N26" s="47" t="s">
        <v>204</v>
      </c>
      <c r="O26" s="47" t="s">
        <v>203</v>
      </c>
      <c r="P26" s="47"/>
      <c r="Q26" s="47" t="s">
        <v>34</v>
      </c>
      <c r="R26" s="47" t="s">
        <v>232</v>
      </c>
      <c r="S26" s="47" t="s">
        <v>287</v>
      </c>
      <c r="T26" s="47" t="s">
        <v>267</v>
      </c>
      <c r="U26" s="47" t="s">
        <v>217</v>
      </c>
      <c r="V26" s="47" t="s">
        <v>171</v>
      </c>
      <c r="W26" s="47"/>
      <c r="X26" s="47"/>
    </row>
    <row r="27" spans="1:24" ht="20.25" customHeight="1" x14ac:dyDescent="0.3">
      <c r="A27" s="47" t="s">
        <v>35</v>
      </c>
      <c r="B27" s="47" t="s">
        <v>235</v>
      </c>
      <c r="C27" s="47" t="s">
        <v>194</v>
      </c>
      <c r="D27" s="47" t="s">
        <v>234</v>
      </c>
      <c r="E27" s="47" t="s">
        <v>228</v>
      </c>
      <c r="F27" s="47" t="s">
        <v>229</v>
      </c>
      <c r="G27" s="47" t="s">
        <v>233</v>
      </c>
      <c r="H27" s="47"/>
      <c r="I27" s="47" t="s">
        <v>35</v>
      </c>
      <c r="J27" s="47" t="s">
        <v>222</v>
      </c>
      <c r="K27" s="47" t="s">
        <v>223</v>
      </c>
      <c r="L27" s="47" t="s">
        <v>224</v>
      </c>
      <c r="M27" s="47" t="s">
        <v>225</v>
      </c>
      <c r="N27" s="47" t="s">
        <v>226</v>
      </c>
      <c r="O27" s="47" t="s">
        <v>227</v>
      </c>
      <c r="P27" s="47"/>
      <c r="Q27" s="47" t="s">
        <v>35</v>
      </c>
      <c r="R27" s="47" t="s">
        <v>171</v>
      </c>
      <c r="S27" s="47" t="s">
        <v>194</v>
      </c>
      <c r="T27" s="47" t="s">
        <v>286</v>
      </c>
      <c r="U27" s="47" t="s">
        <v>266</v>
      </c>
      <c r="V27" s="47" t="s">
        <v>241</v>
      </c>
      <c r="W27" s="47"/>
      <c r="X27" s="47"/>
    </row>
    <row r="28" spans="1:24" ht="20.25" customHeight="1" x14ac:dyDescent="0.3">
      <c r="A28" s="47" t="s">
        <v>36</v>
      </c>
      <c r="B28" s="47" t="s">
        <v>213</v>
      </c>
      <c r="C28" s="47" t="s">
        <v>224</v>
      </c>
      <c r="D28" s="47" t="s">
        <v>195</v>
      </c>
      <c r="E28" s="47" t="s">
        <v>136</v>
      </c>
      <c r="F28" s="47" t="s">
        <v>229</v>
      </c>
      <c r="G28" s="47" t="s">
        <v>119</v>
      </c>
      <c r="H28" s="47"/>
      <c r="I28" s="47" t="s">
        <v>36</v>
      </c>
      <c r="J28" s="47" t="s">
        <v>202</v>
      </c>
      <c r="K28" s="47" t="s">
        <v>244</v>
      </c>
      <c r="L28" s="47" t="s">
        <v>245</v>
      </c>
      <c r="M28" s="47" t="s">
        <v>225</v>
      </c>
      <c r="N28" s="47" t="s">
        <v>204</v>
      </c>
      <c r="O28" s="47" t="s">
        <v>201</v>
      </c>
      <c r="P28" s="47"/>
      <c r="Q28" s="47" t="s">
        <v>36</v>
      </c>
      <c r="R28" s="47" t="s">
        <v>247</v>
      </c>
      <c r="S28" s="47" t="s">
        <v>171</v>
      </c>
      <c r="T28" s="47" t="s">
        <v>267</v>
      </c>
      <c r="U28" s="47" t="s">
        <v>266</v>
      </c>
      <c r="V28" s="47" t="s">
        <v>241</v>
      </c>
      <c r="W28" s="47"/>
      <c r="X28" s="47"/>
    </row>
    <row r="29" spans="1:24" ht="20.25" customHeight="1" x14ac:dyDescent="0.3">
      <c r="A29" s="47" t="s">
        <v>37</v>
      </c>
      <c r="B29" s="47" t="s">
        <v>235</v>
      </c>
      <c r="C29" s="47" t="s">
        <v>248</v>
      </c>
      <c r="D29" s="47" t="s">
        <v>195</v>
      </c>
      <c r="E29" s="47" t="s">
        <v>136</v>
      </c>
      <c r="F29" s="47" t="s">
        <v>249</v>
      </c>
      <c r="G29" s="47" t="s">
        <v>201</v>
      </c>
      <c r="H29" s="47"/>
      <c r="I29" s="47" t="s">
        <v>37</v>
      </c>
      <c r="J29" s="47" t="s">
        <v>227</v>
      </c>
      <c r="K29" s="47" t="s">
        <v>223</v>
      </c>
      <c r="L29" s="47" t="s">
        <v>245</v>
      </c>
      <c r="M29" s="47" t="s">
        <v>225</v>
      </c>
      <c r="N29" s="47" t="s">
        <v>226</v>
      </c>
      <c r="O29" s="47" t="s">
        <v>250</v>
      </c>
      <c r="P29" s="47"/>
      <c r="Q29" s="47" t="s">
        <v>37</v>
      </c>
      <c r="R29" s="47" t="s">
        <v>232</v>
      </c>
      <c r="S29" s="47" t="s">
        <v>287</v>
      </c>
      <c r="T29" s="47" t="s">
        <v>171</v>
      </c>
      <c r="U29" s="47" t="s">
        <v>238</v>
      </c>
      <c r="V29" s="47" t="s">
        <v>295</v>
      </c>
      <c r="W29" s="47"/>
      <c r="X29" s="47"/>
    </row>
    <row r="30" spans="1:24" ht="20.25" customHeight="1" x14ac:dyDescent="0.3">
      <c r="A30" s="47" t="s">
        <v>38</v>
      </c>
      <c r="B30" s="47" t="s">
        <v>256</v>
      </c>
      <c r="C30" s="47" t="s">
        <v>257</v>
      </c>
      <c r="D30" s="47" t="s">
        <v>195</v>
      </c>
      <c r="E30" s="47" t="s">
        <v>136</v>
      </c>
      <c r="F30" s="47" t="s">
        <v>256</v>
      </c>
      <c r="G30" s="47" t="s">
        <v>212</v>
      </c>
      <c r="H30" s="47"/>
      <c r="I30" s="47" t="s">
        <v>38</v>
      </c>
      <c r="J30" s="47" t="s">
        <v>222</v>
      </c>
      <c r="K30" s="47" t="s">
        <v>244</v>
      </c>
      <c r="L30" s="47" t="s">
        <v>197</v>
      </c>
      <c r="M30" s="47" t="s">
        <v>144</v>
      </c>
      <c r="N30" s="47" t="s">
        <v>226</v>
      </c>
      <c r="O30" s="47" t="s">
        <v>255</v>
      </c>
      <c r="P30" s="47"/>
      <c r="Q30" s="47" t="s">
        <v>38</v>
      </c>
      <c r="R30" s="47" t="s">
        <v>232</v>
      </c>
      <c r="S30" s="47" t="s">
        <v>221</v>
      </c>
      <c r="T30" s="47" t="s">
        <v>300</v>
      </c>
      <c r="U30" s="47" t="s">
        <v>171</v>
      </c>
      <c r="V30" s="47" t="s">
        <v>301</v>
      </c>
      <c r="W30" s="47"/>
      <c r="X30" s="47"/>
    </row>
    <row r="31" spans="1:24" ht="20.25" customHeight="1" x14ac:dyDescent="0.3">
      <c r="A31" s="47" t="s">
        <v>39</v>
      </c>
      <c r="B31" s="47" t="s">
        <v>138</v>
      </c>
      <c r="C31" s="47" t="s">
        <v>194</v>
      </c>
      <c r="D31" s="47" t="s">
        <v>234</v>
      </c>
      <c r="E31" s="47" t="s">
        <v>136</v>
      </c>
      <c r="F31" s="47" t="s">
        <v>262</v>
      </c>
      <c r="G31" s="47" t="s">
        <v>212</v>
      </c>
      <c r="H31" s="47"/>
      <c r="I31" s="47" t="s">
        <v>39</v>
      </c>
      <c r="J31" s="47" t="s">
        <v>199</v>
      </c>
      <c r="K31" s="47" t="s">
        <v>244</v>
      </c>
      <c r="L31" s="47" t="s">
        <v>245</v>
      </c>
      <c r="M31" s="47" t="s">
        <v>144</v>
      </c>
      <c r="N31" s="47" t="s">
        <v>226</v>
      </c>
      <c r="O31" s="47" t="s">
        <v>259</v>
      </c>
      <c r="P31" s="47"/>
      <c r="Q31" s="47" t="s">
        <v>39</v>
      </c>
      <c r="R31" s="47" t="s">
        <v>289</v>
      </c>
      <c r="S31" s="47" t="s">
        <v>194</v>
      </c>
      <c r="T31" s="47" t="s">
        <v>267</v>
      </c>
      <c r="U31" s="47" t="s">
        <v>289</v>
      </c>
      <c r="V31" s="47" t="s">
        <v>171</v>
      </c>
      <c r="W31" s="47"/>
      <c r="X31" s="47"/>
    </row>
    <row r="32" spans="1:24" ht="20.25" customHeight="1" x14ac:dyDescent="0.3">
      <c r="A32" s="47" t="s">
        <v>40</v>
      </c>
      <c r="B32" s="47" t="s">
        <v>267</v>
      </c>
      <c r="C32" s="47" t="s">
        <v>257</v>
      </c>
      <c r="D32" s="47" t="s">
        <v>195</v>
      </c>
      <c r="E32" s="47" t="s">
        <v>268</v>
      </c>
      <c r="F32" s="47" t="s">
        <v>249</v>
      </c>
      <c r="G32" s="47" t="s">
        <v>119</v>
      </c>
      <c r="H32" s="47"/>
      <c r="I32" s="47" t="s">
        <v>40</v>
      </c>
      <c r="J32" s="47" t="s">
        <v>227</v>
      </c>
      <c r="K32" s="47" t="s">
        <v>200</v>
      </c>
      <c r="L32" s="47" t="s">
        <v>263</v>
      </c>
      <c r="M32" s="47" t="s">
        <v>228</v>
      </c>
      <c r="N32" s="47" t="s">
        <v>204</v>
      </c>
      <c r="O32" s="47" t="s">
        <v>259</v>
      </c>
      <c r="P32" s="47"/>
      <c r="Q32" s="47" t="s">
        <v>40</v>
      </c>
      <c r="R32" s="47" t="s">
        <v>171</v>
      </c>
      <c r="S32" s="47" t="s">
        <v>194</v>
      </c>
      <c r="T32" s="47" t="s">
        <v>300</v>
      </c>
      <c r="U32" s="47" t="s">
        <v>135</v>
      </c>
      <c r="V32" s="47" t="s">
        <v>295</v>
      </c>
      <c r="W32" s="47"/>
      <c r="X32" s="47"/>
    </row>
    <row r="33" spans="1:24" ht="20.25" customHeight="1" x14ac:dyDescent="0.3">
      <c r="A33" s="47" t="s">
        <v>41</v>
      </c>
      <c r="B33" s="47" t="s">
        <v>138</v>
      </c>
      <c r="C33" s="47" t="s">
        <v>257</v>
      </c>
      <c r="D33" s="47" t="s">
        <v>195</v>
      </c>
      <c r="E33" s="47" t="s">
        <v>268</v>
      </c>
      <c r="F33" s="47" t="s">
        <v>262</v>
      </c>
      <c r="G33" s="47" t="s">
        <v>250</v>
      </c>
      <c r="H33" s="47"/>
      <c r="I33" s="47" t="s">
        <v>41</v>
      </c>
      <c r="J33" s="47" t="s">
        <v>222</v>
      </c>
      <c r="K33" s="47" t="s">
        <v>223</v>
      </c>
      <c r="L33" s="47" t="s">
        <v>245</v>
      </c>
      <c r="M33" s="47" t="s">
        <v>228</v>
      </c>
      <c r="N33" s="47" t="s">
        <v>269</v>
      </c>
      <c r="O33" s="47" t="s">
        <v>250</v>
      </c>
      <c r="P33" s="47"/>
      <c r="Q33" s="47" t="s">
        <v>41</v>
      </c>
      <c r="R33" s="47" t="s">
        <v>41</v>
      </c>
      <c r="S33" s="47" t="s">
        <v>41</v>
      </c>
      <c r="T33" s="47" t="s">
        <v>41</v>
      </c>
      <c r="U33" s="47" t="s">
        <v>41</v>
      </c>
      <c r="V33" s="47" t="s">
        <v>41</v>
      </c>
      <c r="W33" s="47"/>
      <c r="X33" s="47"/>
    </row>
    <row r="34" spans="1:24" ht="20.25" customHeight="1" x14ac:dyDescent="0.3">
      <c r="A34" s="47" t="s">
        <v>42</v>
      </c>
      <c r="B34" s="47" t="s">
        <v>213</v>
      </c>
      <c r="C34" s="47" t="s">
        <v>194</v>
      </c>
      <c r="D34" s="47" t="s">
        <v>214</v>
      </c>
      <c r="E34" s="47" t="s">
        <v>268</v>
      </c>
      <c r="F34" s="47" t="s">
        <v>262</v>
      </c>
      <c r="G34" s="47" t="s">
        <v>250</v>
      </c>
      <c r="H34" s="47"/>
      <c r="I34" s="47" t="s">
        <v>42</v>
      </c>
      <c r="J34" s="47" t="s">
        <v>199</v>
      </c>
      <c r="K34" s="47" t="s">
        <v>206</v>
      </c>
      <c r="L34" s="47" t="s">
        <v>224</v>
      </c>
      <c r="M34" s="47" t="s">
        <v>207</v>
      </c>
      <c r="N34" s="47" t="s">
        <v>226</v>
      </c>
      <c r="O34" s="47" t="s">
        <v>250</v>
      </c>
      <c r="P34" s="47"/>
      <c r="Q34" s="47" t="s">
        <v>42</v>
      </c>
      <c r="R34" s="47" t="s">
        <v>42</v>
      </c>
      <c r="S34" s="47" t="s">
        <v>42</v>
      </c>
      <c r="T34" s="47" t="s">
        <v>42</v>
      </c>
      <c r="U34" s="47" t="s">
        <v>42</v>
      </c>
      <c r="V34" s="47" t="s">
        <v>42</v>
      </c>
      <c r="W34" s="47"/>
      <c r="X34" s="47"/>
    </row>
    <row r="35" spans="1:24" ht="20.25" customHeight="1" x14ac:dyDescent="0.3">
      <c r="A35" s="47" t="s">
        <v>43</v>
      </c>
      <c r="B35" s="47" t="s">
        <v>256</v>
      </c>
      <c r="C35" s="47" t="s">
        <v>257</v>
      </c>
      <c r="D35" s="47" t="s">
        <v>289</v>
      </c>
      <c r="E35" s="47" t="s">
        <v>228</v>
      </c>
      <c r="F35" s="47" t="s">
        <v>256</v>
      </c>
      <c r="G35" s="47" t="s">
        <v>289</v>
      </c>
      <c r="H35" s="47"/>
      <c r="I35" s="47" t="s">
        <v>43</v>
      </c>
      <c r="J35" s="47" t="s">
        <v>288</v>
      </c>
      <c r="K35" s="47" t="s">
        <v>244</v>
      </c>
      <c r="L35" s="47" t="s">
        <v>248</v>
      </c>
      <c r="M35" s="47" t="s">
        <v>207</v>
      </c>
      <c r="N35" s="47" t="s">
        <v>226</v>
      </c>
      <c r="O35" s="47" t="s">
        <v>203</v>
      </c>
      <c r="P35" s="47"/>
      <c r="Q35" s="47" t="s">
        <v>43</v>
      </c>
      <c r="R35" s="47" t="s">
        <v>43</v>
      </c>
      <c r="S35" s="47" t="s">
        <v>43</v>
      </c>
      <c r="T35" s="47" t="s">
        <v>43</v>
      </c>
      <c r="U35" s="47" t="s">
        <v>43</v>
      </c>
      <c r="V35" s="47" t="s">
        <v>43</v>
      </c>
      <c r="W35" s="47"/>
      <c r="X35" s="47"/>
    </row>
    <row r="36" spans="1:24" ht="20.25" customHeight="1" x14ac:dyDescent="0.3">
      <c r="A36" s="47" t="s">
        <v>44</v>
      </c>
      <c r="B36" s="47" t="s">
        <v>213</v>
      </c>
      <c r="C36" s="47" t="s">
        <v>257</v>
      </c>
      <c r="D36" s="47" t="s">
        <v>291</v>
      </c>
      <c r="E36" s="47" t="s">
        <v>268</v>
      </c>
      <c r="F36" s="47" t="s">
        <v>249</v>
      </c>
      <c r="G36" s="47" t="s">
        <v>119</v>
      </c>
      <c r="H36" s="47"/>
      <c r="I36" s="47" t="s">
        <v>44</v>
      </c>
      <c r="J36" s="47" t="s">
        <v>202</v>
      </c>
      <c r="K36" s="47" t="s">
        <v>206</v>
      </c>
      <c r="L36" s="47" t="s">
        <v>263</v>
      </c>
      <c r="M36" s="47" t="s">
        <v>144</v>
      </c>
      <c r="N36" s="47" t="s">
        <v>198</v>
      </c>
      <c r="O36" s="47" t="s">
        <v>220</v>
      </c>
      <c r="P36" s="47"/>
      <c r="Q36" s="47" t="s">
        <v>44</v>
      </c>
      <c r="R36" s="47" t="s">
        <v>44</v>
      </c>
      <c r="S36" s="47" t="s">
        <v>44</v>
      </c>
      <c r="T36" s="47" t="s">
        <v>44</v>
      </c>
      <c r="U36" s="47" t="s">
        <v>44</v>
      </c>
      <c r="V36" s="47" t="s">
        <v>44</v>
      </c>
      <c r="W36" s="47"/>
      <c r="X36" s="47"/>
    </row>
    <row r="37" spans="1:24" ht="20.25" customHeight="1" x14ac:dyDescent="0.3">
      <c r="A37" s="47" t="s">
        <v>45</v>
      </c>
      <c r="B37" s="47" t="s">
        <v>213</v>
      </c>
      <c r="C37" s="47" t="s">
        <v>194</v>
      </c>
      <c r="D37" s="47" t="s">
        <v>290</v>
      </c>
      <c r="E37" s="47" t="s">
        <v>268</v>
      </c>
      <c r="F37" s="47" t="s">
        <v>262</v>
      </c>
      <c r="G37" s="47" t="s">
        <v>227</v>
      </c>
      <c r="H37" s="47"/>
      <c r="I37" s="47" t="s">
        <v>45</v>
      </c>
      <c r="J37" s="47" t="s">
        <v>199</v>
      </c>
      <c r="K37" s="47" t="s">
        <v>247</v>
      </c>
      <c r="L37" s="47" t="s">
        <v>245</v>
      </c>
      <c r="M37" s="47" t="s">
        <v>228</v>
      </c>
      <c r="N37" s="47" t="s">
        <v>198</v>
      </c>
      <c r="O37" s="47" t="s">
        <v>255</v>
      </c>
      <c r="P37" s="47"/>
      <c r="Q37" s="47" t="s">
        <v>45</v>
      </c>
      <c r="R37" s="47" t="s">
        <v>45</v>
      </c>
      <c r="S37" s="47" t="s">
        <v>45</v>
      </c>
      <c r="T37" s="47" t="s">
        <v>45</v>
      </c>
      <c r="U37" s="47" t="s">
        <v>45</v>
      </c>
      <c r="V37" s="47" t="s">
        <v>45</v>
      </c>
      <c r="W37" s="47"/>
      <c r="X37" s="47"/>
    </row>
    <row r="38" spans="1:24" ht="20.25" customHeight="1" x14ac:dyDescent="0.3">
      <c r="A38" s="47" t="s">
        <v>46</v>
      </c>
      <c r="B38" s="47" t="s">
        <v>289</v>
      </c>
      <c r="C38" s="47" t="s">
        <v>194</v>
      </c>
      <c r="D38" s="47" t="s">
        <v>289</v>
      </c>
      <c r="E38" s="47" t="s">
        <v>268</v>
      </c>
      <c r="F38" s="47" t="s">
        <v>262</v>
      </c>
      <c r="G38" s="47" t="s">
        <v>250</v>
      </c>
      <c r="H38" s="47"/>
      <c r="I38" s="47" t="s">
        <v>46</v>
      </c>
      <c r="J38" s="47" t="s">
        <v>222</v>
      </c>
      <c r="K38" s="47" t="s">
        <v>223</v>
      </c>
      <c r="L38" s="47" t="s">
        <v>205</v>
      </c>
      <c r="M38" s="47" t="s">
        <v>228</v>
      </c>
      <c r="N38" s="47" t="s">
        <v>198</v>
      </c>
      <c r="O38" s="47" t="s">
        <v>220</v>
      </c>
      <c r="P38" s="47"/>
      <c r="Q38" s="47" t="s">
        <v>46</v>
      </c>
      <c r="R38" s="47" t="s">
        <v>46</v>
      </c>
      <c r="S38" s="47" t="s">
        <v>46</v>
      </c>
      <c r="T38" s="47" t="s">
        <v>46</v>
      </c>
      <c r="U38" s="47" t="s">
        <v>46</v>
      </c>
      <c r="V38" s="47" t="s">
        <v>46</v>
      </c>
      <c r="W38" s="47"/>
      <c r="X38" s="47"/>
    </row>
    <row r="39" spans="1:24" ht="20.25" customHeight="1" x14ac:dyDescent="0.3">
      <c r="A39" s="118" t="s">
        <v>48</v>
      </c>
      <c r="B39" s="118" t="str" cm="1">
        <f t="array" ref="B39">_xlfn.SINGLE(INDEX(B25:B38,MODE(MATCH(B25:B38,B25:B38,0))))</f>
        <v>Tahj</v>
      </c>
      <c r="C39" s="118" t="str" cm="1">
        <f t="array" ref="C39">_xlfn.SINGLE(INDEX(C25:C38,MODE(MATCH(C25:C38,C25:C38,0))))</f>
        <v>Noah</v>
      </c>
      <c r="D39" s="118" t="str" cm="1">
        <f t="array" ref="D39">_xlfn.SINGLE(INDEX(D25:D38,MODE(MATCH(D25:D38,D25:D38,0))))</f>
        <v>Bill</v>
      </c>
      <c r="E39" s="118" t="str" cm="1">
        <f t="array" ref="E39">_xlfn.SINGLE(INDEX(E25:E38,MODE(MATCH(E25:E38,E25:E38,0))))</f>
        <v>Steve</v>
      </c>
      <c r="F39" s="118" t="str" cm="1">
        <f t="array" ref="F39">_xlfn.SINGLE(INDEX(F25:F38,MODE(MATCH(F25:F38,F25:F38,0))))</f>
        <v>Alistair</v>
      </c>
      <c r="G39" s="118" t="str" cm="1">
        <f t="array" ref="G39">_xlfn.SINGLE(INDEX(G25:G38,MODE(MATCH(G25:G38,G25:G38,0))))</f>
        <v>Nick</v>
      </c>
      <c r="H39" s="118" t="e" cm="1">
        <f t="array" ref="H39">_xlfn.SINGLE(INDEX(H25:H38,MODE(MATCH(H25:H38,H25:H38,0))))</f>
        <v>#N/A</v>
      </c>
      <c r="I39" s="119" t="s">
        <v>48</v>
      </c>
      <c r="J39" s="119" t="str" cm="1">
        <f t="array" ref="J39">_xlfn.SINGLE(INDEX(J25:J38,MODE(MATCH(J25:J38,J25:J38,0))))</f>
        <v>Nicole</v>
      </c>
      <c r="K39" s="119" t="str" cm="1">
        <f t="array" ref="K39">_xlfn.SINGLE(INDEX(K25:K38,MODE(MATCH(K25:K38,K25:K38,0))))</f>
        <v>Zoe</v>
      </c>
      <c r="L39" s="119" t="str" cm="1">
        <f t="array" ref="L39">_xlfn.SINGLE(INDEX(L25:L38,MODE(MATCH(L25:L38,L25:L38,0))))</f>
        <v>Stevie</v>
      </c>
      <c r="M39" s="119" t="str" cm="1">
        <f t="array" ref="M39">_xlfn.SINGLE(INDEX(M25:M38,MODE(MATCH(M25:M38,M25:M38,0))))</f>
        <v>Maddy</v>
      </c>
      <c r="N39" s="119" t="str" cm="1">
        <f t="array" ref="N39">_xlfn.SINGLE(INDEX(N25:N38,MODE(MATCH(N25:N38,N25:N38,0))))</f>
        <v>Jesse</v>
      </c>
      <c r="O39" s="119" t="str" cm="1">
        <f t="array" ref="O39">_xlfn.SINGLE(INDEX(O25:O38,MODE(MATCH(O25:O38,O25:O38,0))))</f>
        <v>Rebecca</v>
      </c>
      <c r="P39" s="119" t="e" cm="1">
        <f t="array" ref="P39">_xlfn.SINGLE(INDEX(P25:P38,MODE(MATCH(P25:P38,P25:P38,0))))</f>
        <v>#N/A</v>
      </c>
      <c r="Q39" s="127" t="s">
        <v>48</v>
      </c>
      <c r="R39" s="127" t="str" cm="1">
        <f t="array" ref="R39">_xlfn.SINGLE(INDEX(R25:R38,MODE(MATCH(R25:R38,R25:R38,0))))</f>
        <v>Bye</v>
      </c>
      <c r="S39" s="127" t="str" cm="1">
        <f t="array" ref="S39">_xlfn.SINGLE(INDEX(S25:S38,MODE(MATCH(S25:S38,S25:S38,0))))</f>
        <v>Noah</v>
      </c>
      <c r="T39" s="127" t="str" cm="1">
        <f t="array" ref="T39">_xlfn.SINGLE(INDEX(T25:T38,MODE(MATCH(T25:T38,T25:T38,0))))</f>
        <v>Ishaan</v>
      </c>
      <c r="U39" s="127" t="str" cm="1">
        <f t="array" ref="U39">_xlfn.SINGLE(INDEX(U25:U38,MODE(MATCH(U25:U38,U25:U38,0))))</f>
        <v>Dion</v>
      </c>
      <c r="V39" s="127" t="str" cm="1">
        <f t="array" ref="V39">_xlfn.SINGLE(INDEX(V25:V38,MODE(MATCH(V25:V38,V25:V38,0))))</f>
        <v>Bye</v>
      </c>
      <c r="W39" s="127" t="e" cm="1">
        <f t="array" ref="W39">_xlfn.SINGLE(INDEX(W25:W38,MODE(MATCH(W25:W38,W25:W38,0))))</f>
        <v>#N/A</v>
      </c>
      <c r="X39" s="127" t="e" cm="1">
        <f t="array" ref="X39">_xlfn.SINGLE(INDEX(X25:X38,MODE(MATCH(X25:X38,X25:X38,0))))</f>
        <v>#N/A</v>
      </c>
    </row>
    <row r="40" spans="1:24" ht="20.25" customHeight="1" x14ac:dyDescent="0.3">
      <c r="A40" s="118">
        <f>MAX(B40:H40)</f>
        <v>7</v>
      </c>
      <c r="B40" s="47">
        <f t="shared" ref="B40:H40" si="2">COUNTIF(B25:B38,B39)</f>
        <v>5</v>
      </c>
      <c r="C40" s="47">
        <f t="shared" si="2"/>
        <v>7</v>
      </c>
      <c r="D40" s="47">
        <f t="shared" si="2"/>
        <v>6</v>
      </c>
      <c r="E40" s="47">
        <f t="shared" si="2"/>
        <v>6</v>
      </c>
      <c r="F40" s="47">
        <f t="shared" si="2"/>
        <v>5</v>
      </c>
      <c r="G40" s="47">
        <f t="shared" si="2"/>
        <v>4</v>
      </c>
      <c r="H40" s="47">
        <f t="shared" si="2"/>
        <v>0</v>
      </c>
      <c r="I40" s="119">
        <f>MAX(J40:P40)</f>
        <v>6</v>
      </c>
      <c r="J40" s="47">
        <f t="shared" ref="J40:P40" si="3">COUNTIF(J25:J38,J39)</f>
        <v>4</v>
      </c>
      <c r="K40" s="47">
        <f t="shared" si="3"/>
        <v>4</v>
      </c>
      <c r="L40" s="47">
        <f t="shared" si="3"/>
        <v>5</v>
      </c>
      <c r="M40" s="47">
        <f t="shared" si="3"/>
        <v>4</v>
      </c>
      <c r="N40" s="47">
        <f t="shared" si="3"/>
        <v>6</v>
      </c>
      <c r="O40" s="47">
        <f t="shared" si="3"/>
        <v>3</v>
      </c>
      <c r="P40" s="47">
        <f t="shared" si="3"/>
        <v>0</v>
      </c>
      <c r="Q40" s="127">
        <f>MAX(R40:X40)</f>
        <v>3</v>
      </c>
      <c r="R40" s="47">
        <f t="shared" ref="R40:X40" si="4">COUNTIF(R25:R38,R39)</f>
        <v>3</v>
      </c>
      <c r="S40" s="47">
        <f t="shared" si="4"/>
        <v>3</v>
      </c>
      <c r="T40" s="47">
        <f t="shared" si="4"/>
        <v>3</v>
      </c>
      <c r="U40" s="47">
        <f t="shared" si="4"/>
        <v>2</v>
      </c>
      <c r="V40" s="47">
        <f t="shared" si="4"/>
        <v>2</v>
      </c>
      <c r="W40" s="47">
        <f t="shared" si="4"/>
        <v>0</v>
      </c>
      <c r="X40" s="47">
        <f t="shared" si="4"/>
        <v>0</v>
      </c>
    </row>
  </sheetData>
  <mergeCells count="5">
    <mergeCell ref="B2:H2"/>
    <mergeCell ref="J2:P2"/>
    <mergeCell ref="B23:H23"/>
    <mergeCell ref="J23:P23"/>
    <mergeCell ref="R23:X23"/>
  </mergeCells>
  <phoneticPr fontId="2" type="noConversion"/>
  <conditionalFormatting sqref="B19:H19">
    <cfRule type="cellIs" dxfId="4" priority="7" operator="equal">
      <formula>$A$19</formula>
    </cfRule>
  </conditionalFormatting>
  <conditionalFormatting sqref="J19:P19">
    <cfRule type="cellIs" dxfId="3" priority="6" operator="equal">
      <formula>$I$19</formula>
    </cfRule>
  </conditionalFormatting>
  <conditionalFormatting sqref="B40:H40">
    <cfRule type="cellIs" dxfId="2" priority="5" operator="equal">
      <formula>$A$40</formula>
    </cfRule>
  </conditionalFormatting>
  <conditionalFormatting sqref="J40:P40">
    <cfRule type="cellIs" dxfId="1" priority="2" operator="equal">
      <formula>$I$40</formula>
    </cfRule>
  </conditionalFormatting>
  <conditionalFormatting sqref="R40:X40">
    <cfRule type="cellIs" dxfId="0" priority="1" operator="equal">
      <formula>$Q$40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C2ED2-B8ED-4D76-9D82-CD0B9C012C58}">
  <sheetPr codeName="Sheet16"/>
  <dimension ref="A1:J83"/>
  <sheetViews>
    <sheetView topLeftCell="A54" workbookViewId="0">
      <selection activeCell="A67" sqref="A67:J67"/>
    </sheetView>
  </sheetViews>
  <sheetFormatPr defaultColWidth="8.6640625" defaultRowHeight="19.2" customHeight="1" x14ac:dyDescent="0.25"/>
  <cols>
    <col min="1" max="1" width="10.33203125" style="52" customWidth="1"/>
    <col min="2" max="2" width="8.88671875" style="53" customWidth="1"/>
    <col min="3" max="3" width="8.88671875" style="54" customWidth="1"/>
    <col min="4" max="4" width="8.88671875" style="52" customWidth="1"/>
    <col min="5" max="6" width="19.44140625" style="52" customWidth="1"/>
    <col min="7" max="7" width="6.109375" style="52" customWidth="1"/>
    <col min="8" max="10" width="19.44140625" style="52" customWidth="1"/>
    <col min="11" max="12" width="8" style="46" customWidth="1"/>
    <col min="13" max="16384" width="8.6640625" style="46"/>
  </cols>
  <sheetData>
    <row r="1" spans="1:10" ht="19.2" customHeight="1" x14ac:dyDescent="0.25">
      <c r="A1" s="43" t="s">
        <v>92</v>
      </c>
      <c r="B1" s="44" t="s">
        <v>6</v>
      </c>
      <c r="C1" s="45" t="s">
        <v>7</v>
      </c>
      <c r="D1" s="43" t="s">
        <v>8</v>
      </c>
      <c r="E1" s="43" t="s">
        <v>91</v>
      </c>
      <c r="F1" s="43" t="s">
        <v>10</v>
      </c>
      <c r="G1" s="43"/>
      <c r="H1" s="43" t="s">
        <v>11</v>
      </c>
      <c r="I1" s="43" t="s">
        <v>90</v>
      </c>
      <c r="J1" s="43" t="s">
        <v>99</v>
      </c>
    </row>
    <row r="2" spans="1:10" ht="19.2" customHeight="1" x14ac:dyDescent="0.25">
      <c r="A2" s="47" t="s">
        <v>14</v>
      </c>
      <c r="B2" s="48">
        <v>45868</v>
      </c>
      <c r="C2" s="49" t="s">
        <v>15</v>
      </c>
      <c r="D2" s="47" t="s">
        <v>0</v>
      </c>
      <c r="E2" s="47" t="str">
        <f>F2</f>
        <v>Back In The Day</v>
      </c>
      <c r="F2" s="47" t="s">
        <v>179</v>
      </c>
      <c r="G2" s="47" t="s">
        <v>3</v>
      </c>
      <c r="H2" s="47" t="s">
        <v>180</v>
      </c>
      <c r="I2" s="47" t="str">
        <f>F3</f>
        <v>Ballz Deep</v>
      </c>
      <c r="J2" s="47"/>
    </row>
    <row r="3" spans="1:10" ht="19.2" customHeight="1" x14ac:dyDescent="0.25">
      <c r="A3" s="47" t="str">
        <f>A2</f>
        <v>Round 1</v>
      </c>
      <c r="B3" s="48">
        <f>B2</f>
        <v>45868</v>
      </c>
      <c r="C3" s="49" t="s">
        <v>16</v>
      </c>
      <c r="D3" s="47" t="s">
        <v>0</v>
      </c>
      <c r="E3" s="47"/>
      <c r="F3" s="47" t="s">
        <v>133</v>
      </c>
      <c r="G3" s="47" t="s">
        <v>3</v>
      </c>
      <c r="H3" s="47" t="s">
        <v>154</v>
      </c>
      <c r="I3" s="47" t="str">
        <f>H2</f>
        <v>Fitroy Rebels</v>
      </c>
      <c r="J3" s="47"/>
    </row>
    <row r="4" spans="1:10" ht="19.2" customHeight="1" x14ac:dyDescent="0.25">
      <c r="A4" s="47" t="str">
        <f t="shared" ref="A4:A5" si="0">A3</f>
        <v>Round 1</v>
      </c>
      <c r="B4" s="48">
        <f>B3</f>
        <v>45868</v>
      </c>
      <c r="C4" s="49" t="s">
        <v>17</v>
      </c>
      <c r="D4" s="47" t="s">
        <v>0</v>
      </c>
      <c r="E4" s="47"/>
      <c r="F4" s="47" t="s">
        <v>121</v>
      </c>
      <c r="G4" s="47" t="s">
        <v>3</v>
      </c>
      <c r="H4" s="47" t="s">
        <v>124</v>
      </c>
      <c r="I4" s="47" t="str">
        <f>H3</f>
        <v>Pan Set</v>
      </c>
      <c r="J4" s="47" t="str">
        <f>H4</f>
        <v>Practice Safe Sets</v>
      </c>
    </row>
    <row r="5" spans="1:10" ht="19.2" customHeight="1" x14ac:dyDescent="0.25">
      <c r="A5" s="47" t="str">
        <f t="shared" si="0"/>
        <v>Round 1</v>
      </c>
      <c r="B5" s="48">
        <f>B4</f>
        <v>45868</v>
      </c>
      <c r="C5" s="49" t="s">
        <v>102</v>
      </c>
      <c r="D5" s="47"/>
      <c r="E5" s="47"/>
      <c r="F5" s="47" t="s">
        <v>4</v>
      </c>
      <c r="G5" s="47"/>
      <c r="H5" s="47"/>
      <c r="I5" s="47"/>
      <c r="J5" s="47"/>
    </row>
    <row r="6" spans="1:10" ht="19.2" customHeight="1" x14ac:dyDescent="0.25">
      <c r="A6" s="108" t="s">
        <v>18</v>
      </c>
      <c r="B6" s="109">
        <f>B2+7</f>
        <v>45875</v>
      </c>
      <c r="C6" s="50" t="s">
        <v>15</v>
      </c>
      <c r="D6" s="108" t="s">
        <v>0</v>
      </c>
      <c r="E6" s="108" t="str">
        <f>F6</f>
        <v>Ballz Deep</v>
      </c>
      <c r="F6" s="108" t="s">
        <v>133</v>
      </c>
      <c r="G6" s="108" t="s">
        <v>3</v>
      </c>
      <c r="H6" s="108" t="s">
        <v>4</v>
      </c>
      <c r="I6" s="108" t="str">
        <f>F7</f>
        <v>Practice Safe Sets</v>
      </c>
      <c r="J6" s="108"/>
    </row>
    <row r="7" spans="1:10" ht="19.2" customHeight="1" x14ac:dyDescent="0.25">
      <c r="A7" s="108" t="str">
        <f>A6</f>
        <v>Round 2</v>
      </c>
      <c r="B7" s="109">
        <f>B6</f>
        <v>45875</v>
      </c>
      <c r="C7" s="50" t="s">
        <v>16</v>
      </c>
      <c r="D7" s="108" t="s">
        <v>0</v>
      </c>
      <c r="E7" s="108"/>
      <c r="F7" s="108" t="s">
        <v>124</v>
      </c>
      <c r="G7" s="108" t="s">
        <v>3</v>
      </c>
      <c r="H7" s="108" t="s">
        <v>180</v>
      </c>
      <c r="I7" s="108" t="str">
        <f>H6</f>
        <v>Dunlop Volley</v>
      </c>
      <c r="J7" s="108"/>
    </row>
    <row r="8" spans="1:10" ht="19.2" customHeight="1" x14ac:dyDescent="0.25">
      <c r="A8" s="108" t="str">
        <f t="shared" ref="A8:A9" si="1">A7</f>
        <v>Round 2</v>
      </c>
      <c r="B8" s="109">
        <f>B7</f>
        <v>45875</v>
      </c>
      <c r="C8" s="50" t="s">
        <v>17</v>
      </c>
      <c r="D8" s="108" t="s">
        <v>0</v>
      </c>
      <c r="E8" s="108"/>
      <c r="F8" s="108" t="s">
        <v>121</v>
      </c>
      <c r="G8" s="108" t="s">
        <v>3</v>
      </c>
      <c r="H8" s="108" t="s">
        <v>154</v>
      </c>
      <c r="I8" s="108" t="str">
        <f>H7</f>
        <v>Fitroy Rebels</v>
      </c>
      <c r="J8" s="108" t="str">
        <f>H8</f>
        <v>Pan Set</v>
      </c>
    </row>
    <row r="9" spans="1:10" ht="19.2" customHeight="1" x14ac:dyDescent="0.25">
      <c r="A9" s="108" t="str">
        <f t="shared" si="1"/>
        <v>Round 2</v>
      </c>
      <c r="B9" s="109">
        <f>B6</f>
        <v>45875</v>
      </c>
      <c r="C9" s="50" t="s">
        <v>102</v>
      </c>
      <c r="D9" s="108"/>
      <c r="E9" s="108"/>
      <c r="F9" s="108" t="s">
        <v>179</v>
      </c>
      <c r="G9" s="108"/>
      <c r="H9" s="108"/>
      <c r="I9" s="108"/>
      <c r="J9" s="108"/>
    </row>
    <row r="10" spans="1:10" ht="19.2" customHeight="1" x14ac:dyDescent="0.25">
      <c r="A10" s="47" t="s">
        <v>19</v>
      </c>
      <c r="B10" s="48">
        <f>B6+7</f>
        <v>45882</v>
      </c>
      <c r="C10" s="49" t="s">
        <v>15</v>
      </c>
      <c r="D10" s="47" t="s">
        <v>0</v>
      </c>
      <c r="E10" s="47" t="str">
        <f t="shared" ref="E10" si="2">F10</f>
        <v>Practice Safe Sets</v>
      </c>
      <c r="F10" s="47" t="s">
        <v>124</v>
      </c>
      <c r="G10" s="47" t="s">
        <v>3</v>
      </c>
      <c r="H10" s="47" t="s">
        <v>179</v>
      </c>
      <c r="I10" s="47" t="str">
        <f>F11</f>
        <v>Chewblockers</v>
      </c>
      <c r="J10" s="47"/>
    </row>
    <row r="11" spans="1:10" ht="19.2" customHeight="1" x14ac:dyDescent="0.25">
      <c r="A11" s="47" t="str">
        <f>A10</f>
        <v>Round 3</v>
      </c>
      <c r="B11" s="48">
        <f>B10</f>
        <v>45882</v>
      </c>
      <c r="C11" s="49" t="s">
        <v>16</v>
      </c>
      <c r="D11" s="47" t="s">
        <v>0</v>
      </c>
      <c r="E11" s="47"/>
      <c r="F11" s="47" t="s">
        <v>121</v>
      </c>
      <c r="G11" s="47" t="s">
        <v>3</v>
      </c>
      <c r="H11" s="47" t="s">
        <v>4</v>
      </c>
      <c r="I11" s="47" t="str">
        <f>H10</f>
        <v>Back In The Day</v>
      </c>
      <c r="J11" s="47"/>
    </row>
    <row r="12" spans="1:10" ht="19.2" customHeight="1" x14ac:dyDescent="0.25">
      <c r="A12" s="47" t="str">
        <f t="shared" ref="A12:A13" si="3">A11</f>
        <v>Round 3</v>
      </c>
      <c r="B12" s="48">
        <f>B11</f>
        <v>45882</v>
      </c>
      <c r="C12" s="49" t="s">
        <v>17</v>
      </c>
      <c r="D12" s="47" t="s">
        <v>0</v>
      </c>
      <c r="E12" s="47"/>
      <c r="F12" s="47" t="s">
        <v>180</v>
      </c>
      <c r="G12" s="47" t="s">
        <v>3</v>
      </c>
      <c r="H12" s="47" t="s">
        <v>154</v>
      </c>
      <c r="I12" s="47" t="str">
        <f>H11</f>
        <v>Dunlop Volley</v>
      </c>
      <c r="J12" s="47" t="str">
        <f t="shared" ref="J12" si="4">H12</f>
        <v>Pan Set</v>
      </c>
    </row>
    <row r="13" spans="1:10" ht="19.2" customHeight="1" x14ac:dyDescent="0.25">
      <c r="A13" s="47" t="str">
        <f t="shared" si="3"/>
        <v>Round 3</v>
      </c>
      <c r="B13" s="48">
        <f>B12</f>
        <v>45882</v>
      </c>
      <c r="C13" s="49" t="s">
        <v>102</v>
      </c>
      <c r="D13" s="47"/>
      <c r="E13" s="47"/>
      <c r="F13" s="47" t="s">
        <v>133</v>
      </c>
      <c r="G13" s="47"/>
      <c r="H13" s="47"/>
      <c r="I13" s="47"/>
      <c r="J13" s="47"/>
    </row>
    <row r="14" spans="1:10" ht="19.2" customHeight="1" x14ac:dyDescent="0.25">
      <c r="A14" s="108" t="s">
        <v>20</v>
      </c>
      <c r="B14" s="109">
        <f>B10+7</f>
        <v>45889</v>
      </c>
      <c r="C14" s="50" t="s">
        <v>15</v>
      </c>
      <c r="D14" s="108" t="s">
        <v>0</v>
      </c>
      <c r="E14" s="108" t="str">
        <f t="shared" ref="E14" si="5">F14</f>
        <v>Chewblockers</v>
      </c>
      <c r="F14" s="108" t="s">
        <v>121</v>
      </c>
      <c r="G14" s="108" t="s">
        <v>3</v>
      </c>
      <c r="H14" s="108" t="s">
        <v>133</v>
      </c>
      <c r="I14" s="108" t="str">
        <f>F15</f>
        <v>Back In The Day</v>
      </c>
      <c r="J14" s="108"/>
    </row>
    <row r="15" spans="1:10" ht="19.2" customHeight="1" x14ac:dyDescent="0.25">
      <c r="A15" s="108" t="str">
        <f>A14</f>
        <v>Round 4</v>
      </c>
      <c r="B15" s="109">
        <f>B14</f>
        <v>45889</v>
      </c>
      <c r="C15" s="50" t="s">
        <v>16</v>
      </c>
      <c r="D15" s="108" t="s">
        <v>0</v>
      </c>
      <c r="E15" s="108"/>
      <c r="F15" s="108" t="s">
        <v>179</v>
      </c>
      <c r="G15" s="108" t="s">
        <v>3</v>
      </c>
      <c r="H15" s="108" t="s">
        <v>154</v>
      </c>
      <c r="I15" s="108" t="str">
        <f>H14</f>
        <v>Ballz Deep</v>
      </c>
      <c r="J15" s="108"/>
    </row>
    <row r="16" spans="1:10" s="51" customFormat="1" ht="19.2" customHeight="1" x14ac:dyDescent="0.25">
      <c r="A16" s="108" t="str">
        <f t="shared" ref="A16:A17" si="6">A15</f>
        <v>Round 4</v>
      </c>
      <c r="B16" s="109">
        <f>B15</f>
        <v>45889</v>
      </c>
      <c r="C16" s="50" t="s">
        <v>17</v>
      </c>
      <c r="D16" s="108" t="s">
        <v>0</v>
      </c>
      <c r="E16" s="108"/>
      <c r="F16" s="108" t="s">
        <v>4</v>
      </c>
      <c r="G16" s="108" t="s">
        <v>3</v>
      </c>
      <c r="H16" s="108" t="s">
        <v>180</v>
      </c>
      <c r="I16" s="108" t="str">
        <f>H15</f>
        <v>Pan Set</v>
      </c>
      <c r="J16" s="108" t="str">
        <f t="shared" ref="J16" si="7">H16</f>
        <v>Fitroy Rebels</v>
      </c>
    </row>
    <row r="17" spans="1:10" s="51" customFormat="1" ht="19.2" customHeight="1" x14ac:dyDescent="0.25">
      <c r="A17" s="108" t="str">
        <f t="shared" si="6"/>
        <v>Round 4</v>
      </c>
      <c r="B17" s="109">
        <f>B14</f>
        <v>45889</v>
      </c>
      <c r="C17" s="50" t="s">
        <v>102</v>
      </c>
      <c r="D17" s="108"/>
      <c r="E17" s="108"/>
      <c r="F17" s="108" t="s">
        <v>124</v>
      </c>
      <c r="G17" s="108"/>
      <c r="H17" s="108"/>
      <c r="I17" s="108"/>
      <c r="J17" s="108"/>
    </row>
    <row r="18" spans="1:10" s="51" customFormat="1" ht="19.2" customHeight="1" x14ac:dyDescent="0.25">
      <c r="A18" s="47" t="s">
        <v>21</v>
      </c>
      <c r="B18" s="48">
        <f>B14+7</f>
        <v>45896</v>
      </c>
      <c r="C18" s="49" t="s">
        <v>15</v>
      </c>
      <c r="D18" s="47" t="s">
        <v>0</v>
      </c>
      <c r="E18" s="47" t="str">
        <f t="shared" ref="E18" si="8">F18</f>
        <v>Pan Set</v>
      </c>
      <c r="F18" s="47" t="s">
        <v>154</v>
      </c>
      <c r="G18" s="47" t="s">
        <v>3</v>
      </c>
      <c r="H18" s="47" t="s">
        <v>124</v>
      </c>
      <c r="I18" s="47" t="str">
        <f>F19</f>
        <v>Ballz Deep</v>
      </c>
      <c r="J18" s="47"/>
    </row>
    <row r="19" spans="1:10" s="51" customFormat="1" ht="19.2" customHeight="1" x14ac:dyDescent="0.25">
      <c r="A19" s="47" t="str">
        <f>A18</f>
        <v>Round 5</v>
      </c>
      <c r="B19" s="48">
        <f>B18</f>
        <v>45896</v>
      </c>
      <c r="C19" s="49" t="s">
        <v>16</v>
      </c>
      <c r="D19" s="47" t="s">
        <v>0</v>
      </c>
      <c r="E19" s="47"/>
      <c r="F19" s="47" t="s">
        <v>133</v>
      </c>
      <c r="G19" s="47" t="s">
        <v>3</v>
      </c>
      <c r="H19" s="47" t="s">
        <v>180</v>
      </c>
      <c r="I19" s="47" t="str">
        <f>H18</f>
        <v>Practice Safe Sets</v>
      </c>
      <c r="J19" s="47"/>
    </row>
    <row r="20" spans="1:10" s="51" customFormat="1" ht="19.2" customHeight="1" x14ac:dyDescent="0.25">
      <c r="A20" s="47" t="str">
        <f t="shared" ref="A20:A21" si="9">A19</f>
        <v>Round 5</v>
      </c>
      <c r="B20" s="48">
        <f>B19</f>
        <v>45896</v>
      </c>
      <c r="C20" s="49" t="s">
        <v>17</v>
      </c>
      <c r="D20" s="47" t="s">
        <v>0</v>
      </c>
      <c r="E20" s="47"/>
      <c r="F20" s="47" t="s">
        <v>4</v>
      </c>
      <c r="G20" s="47" t="s">
        <v>3</v>
      </c>
      <c r="H20" s="47" t="s">
        <v>179</v>
      </c>
      <c r="I20" s="47" t="str">
        <f>H19</f>
        <v>Fitroy Rebels</v>
      </c>
      <c r="J20" s="47" t="str">
        <f t="shared" ref="J20" si="10">H20</f>
        <v>Back In The Day</v>
      </c>
    </row>
    <row r="21" spans="1:10" s="51" customFormat="1" ht="19.2" customHeight="1" x14ac:dyDescent="0.25">
      <c r="A21" s="47" t="str">
        <f t="shared" si="9"/>
        <v>Round 5</v>
      </c>
      <c r="B21" s="48">
        <f>B20</f>
        <v>45896</v>
      </c>
      <c r="C21" s="49" t="s">
        <v>102</v>
      </c>
      <c r="D21" s="47"/>
      <c r="E21" s="47"/>
      <c r="F21" s="47" t="s">
        <v>121</v>
      </c>
      <c r="G21" s="47"/>
      <c r="H21" s="47"/>
      <c r="I21" s="47"/>
      <c r="J21" s="47"/>
    </row>
    <row r="22" spans="1:10" s="51" customFormat="1" ht="19.2" customHeight="1" x14ac:dyDescent="0.25">
      <c r="A22" s="108" t="s">
        <v>22</v>
      </c>
      <c r="B22" s="109">
        <f>B18+7</f>
        <v>45903</v>
      </c>
      <c r="C22" s="50" t="s">
        <v>15</v>
      </c>
      <c r="D22" s="108" t="s">
        <v>0</v>
      </c>
      <c r="E22" s="108" t="str">
        <f t="shared" ref="E22" si="11">F22</f>
        <v>Fitroy Rebels</v>
      </c>
      <c r="F22" s="108" t="s">
        <v>180</v>
      </c>
      <c r="G22" s="108" t="s">
        <v>3</v>
      </c>
      <c r="H22" s="108" t="s">
        <v>121</v>
      </c>
      <c r="I22" s="108" t="str">
        <f>F23</f>
        <v>Practice Safe Sets</v>
      </c>
      <c r="J22" s="108"/>
    </row>
    <row r="23" spans="1:10" s="51" customFormat="1" ht="19.2" customHeight="1" x14ac:dyDescent="0.25">
      <c r="A23" s="108" t="str">
        <f>A22</f>
        <v>Round 6</v>
      </c>
      <c r="B23" s="109">
        <f>B22</f>
        <v>45903</v>
      </c>
      <c r="C23" s="50" t="s">
        <v>16</v>
      </c>
      <c r="D23" s="108" t="s">
        <v>0</v>
      </c>
      <c r="E23" s="108"/>
      <c r="F23" s="108" t="s">
        <v>124</v>
      </c>
      <c r="G23" s="108" t="s">
        <v>3</v>
      </c>
      <c r="H23" s="108" t="s">
        <v>4</v>
      </c>
      <c r="I23" s="108" t="str">
        <f>H22</f>
        <v>Chewblockers</v>
      </c>
      <c r="J23" s="108"/>
    </row>
    <row r="24" spans="1:10" s="51" customFormat="1" ht="19.2" customHeight="1" x14ac:dyDescent="0.25">
      <c r="A24" s="108" t="str">
        <f t="shared" ref="A24:A25" si="12">A23</f>
        <v>Round 6</v>
      </c>
      <c r="B24" s="109">
        <f>B23</f>
        <v>45903</v>
      </c>
      <c r="C24" s="50" t="s">
        <v>17</v>
      </c>
      <c r="D24" s="108" t="s">
        <v>0</v>
      </c>
      <c r="E24" s="108"/>
      <c r="F24" s="108" t="s">
        <v>179</v>
      </c>
      <c r="G24" s="108" t="s">
        <v>3</v>
      </c>
      <c r="H24" s="108" t="s">
        <v>133</v>
      </c>
      <c r="I24" s="108" t="str">
        <f>H23</f>
        <v>Dunlop Volley</v>
      </c>
      <c r="J24" s="108" t="str">
        <f t="shared" ref="J24" si="13">H24</f>
        <v>Ballz Deep</v>
      </c>
    </row>
    <row r="25" spans="1:10" s="51" customFormat="1" ht="19.2" customHeight="1" x14ac:dyDescent="0.25">
      <c r="A25" s="108" t="str">
        <f t="shared" si="12"/>
        <v>Round 6</v>
      </c>
      <c r="B25" s="109">
        <f>B22</f>
        <v>45903</v>
      </c>
      <c r="C25" s="50" t="s">
        <v>102</v>
      </c>
      <c r="D25" s="108"/>
      <c r="E25" s="108"/>
      <c r="F25" s="108" t="s">
        <v>154</v>
      </c>
      <c r="G25" s="108"/>
      <c r="H25" s="108"/>
      <c r="I25" s="108"/>
      <c r="J25" s="108"/>
    </row>
    <row r="26" spans="1:10" ht="19.2" customHeight="1" x14ac:dyDescent="0.25">
      <c r="A26" s="43" t="s">
        <v>92</v>
      </c>
      <c r="B26" s="44" t="s">
        <v>6</v>
      </c>
      <c r="C26" s="45" t="s">
        <v>7</v>
      </c>
      <c r="D26" s="43" t="s">
        <v>8</v>
      </c>
      <c r="E26" s="43" t="s">
        <v>91</v>
      </c>
      <c r="F26" s="43" t="s">
        <v>10</v>
      </c>
      <c r="G26" s="43"/>
      <c r="H26" s="43" t="s">
        <v>11</v>
      </c>
      <c r="I26" s="43" t="s">
        <v>90</v>
      </c>
      <c r="J26" s="43" t="s">
        <v>99</v>
      </c>
    </row>
    <row r="27" spans="1:10" s="51" customFormat="1" ht="19.2" customHeight="1" x14ac:dyDescent="0.25">
      <c r="A27" s="47" t="s">
        <v>23</v>
      </c>
      <c r="B27" s="48">
        <f>B22+7</f>
        <v>45910</v>
      </c>
      <c r="C27" s="49" t="s">
        <v>15</v>
      </c>
      <c r="D27" s="47" t="s">
        <v>0</v>
      </c>
      <c r="E27" s="47" t="str">
        <f t="shared" ref="E27" si="14">F27</f>
        <v>Dunlop Volley</v>
      </c>
      <c r="F27" s="47" t="s">
        <v>4</v>
      </c>
      <c r="G27" s="47" t="s">
        <v>3</v>
      </c>
      <c r="H27" s="47" t="s">
        <v>154</v>
      </c>
      <c r="I27" s="47" t="str">
        <f>F28</f>
        <v>Chewblockers</v>
      </c>
      <c r="J27" s="47"/>
    </row>
    <row r="28" spans="1:10" s="51" customFormat="1" ht="19.2" customHeight="1" x14ac:dyDescent="0.25">
      <c r="A28" s="47" t="str">
        <f>A27</f>
        <v>Round 7</v>
      </c>
      <c r="B28" s="48">
        <f>B27</f>
        <v>45910</v>
      </c>
      <c r="C28" s="49" t="s">
        <v>16</v>
      </c>
      <c r="D28" s="47" t="s">
        <v>0</v>
      </c>
      <c r="E28" s="47"/>
      <c r="F28" s="47" t="s">
        <v>121</v>
      </c>
      <c r="G28" s="47" t="s">
        <v>3</v>
      </c>
      <c r="H28" s="47" t="s">
        <v>179</v>
      </c>
      <c r="I28" s="47" t="str">
        <f>H27</f>
        <v>Pan Set</v>
      </c>
      <c r="J28" s="47"/>
    </row>
    <row r="29" spans="1:10" s="51" customFormat="1" ht="19.2" customHeight="1" x14ac:dyDescent="0.25">
      <c r="A29" s="47" t="str">
        <f t="shared" ref="A29:A30" si="15">A28</f>
        <v>Round 7</v>
      </c>
      <c r="B29" s="48">
        <f>B28</f>
        <v>45910</v>
      </c>
      <c r="C29" s="49" t="s">
        <v>17</v>
      </c>
      <c r="D29" s="47" t="s">
        <v>0</v>
      </c>
      <c r="E29" s="47"/>
      <c r="F29" s="47" t="s">
        <v>133</v>
      </c>
      <c r="G29" s="47" t="s">
        <v>3</v>
      </c>
      <c r="H29" s="47" t="s">
        <v>124</v>
      </c>
      <c r="I29" s="47" t="str">
        <f>H28</f>
        <v>Back In The Day</v>
      </c>
      <c r="J29" s="47" t="str">
        <f t="shared" ref="J29" si="16">H29</f>
        <v>Practice Safe Sets</v>
      </c>
    </row>
    <row r="30" spans="1:10" s="51" customFormat="1" ht="19.2" customHeight="1" x14ac:dyDescent="0.25">
      <c r="A30" s="47" t="str">
        <f t="shared" si="15"/>
        <v>Round 7</v>
      </c>
      <c r="B30" s="48">
        <f>B29</f>
        <v>45910</v>
      </c>
      <c r="C30" s="49" t="s">
        <v>102</v>
      </c>
      <c r="D30" s="47"/>
      <c r="E30" s="47"/>
      <c r="F30" s="47" t="s">
        <v>180</v>
      </c>
      <c r="G30" s="47"/>
      <c r="H30" s="47"/>
      <c r="I30" s="47"/>
      <c r="J30" s="47"/>
    </row>
    <row r="31" spans="1:10" s="51" customFormat="1" ht="19.2" customHeight="1" x14ac:dyDescent="0.25">
      <c r="A31" s="110" t="s">
        <v>24</v>
      </c>
      <c r="B31" s="109">
        <f>B27+7</f>
        <v>45917</v>
      </c>
      <c r="C31" s="50" t="s">
        <v>15</v>
      </c>
      <c r="D31" s="108" t="s">
        <v>0</v>
      </c>
      <c r="E31" s="108" t="str">
        <f t="shared" ref="E31" si="17">F31</f>
        <v>Back In The Day</v>
      </c>
      <c r="F31" s="108" t="s">
        <v>179</v>
      </c>
      <c r="G31" s="108" t="s">
        <v>3</v>
      </c>
      <c r="H31" s="108" t="s">
        <v>180</v>
      </c>
      <c r="I31" s="108" t="str">
        <f>F32</f>
        <v>Ballz Deep</v>
      </c>
      <c r="J31" s="108"/>
    </row>
    <row r="32" spans="1:10" s="51" customFormat="1" ht="19.2" customHeight="1" x14ac:dyDescent="0.25">
      <c r="A32" s="108" t="str">
        <f>A31</f>
        <v>Round 8</v>
      </c>
      <c r="B32" s="109">
        <f>B31</f>
        <v>45917</v>
      </c>
      <c r="C32" s="50" t="s">
        <v>16</v>
      </c>
      <c r="D32" s="108" t="s">
        <v>0</v>
      </c>
      <c r="E32" s="108"/>
      <c r="F32" s="108" t="s">
        <v>133</v>
      </c>
      <c r="G32" s="108" t="s">
        <v>3</v>
      </c>
      <c r="H32" s="108" t="s">
        <v>154</v>
      </c>
      <c r="I32" s="108" t="str">
        <f>H31</f>
        <v>Fitroy Rebels</v>
      </c>
      <c r="J32" s="108"/>
    </row>
    <row r="33" spans="1:10" s="51" customFormat="1" ht="19.2" customHeight="1" x14ac:dyDescent="0.25">
      <c r="A33" s="108" t="str">
        <f t="shared" ref="A33:A34" si="18">A32</f>
        <v>Round 8</v>
      </c>
      <c r="B33" s="109">
        <f>B32</f>
        <v>45917</v>
      </c>
      <c r="C33" s="50" t="s">
        <v>17</v>
      </c>
      <c r="D33" s="108" t="s">
        <v>0</v>
      </c>
      <c r="E33" s="108"/>
      <c r="F33" s="108" t="s">
        <v>124</v>
      </c>
      <c r="G33" s="108" t="s">
        <v>3</v>
      </c>
      <c r="H33" s="108" t="s">
        <v>121</v>
      </c>
      <c r="I33" s="108" t="str">
        <f>H32</f>
        <v>Pan Set</v>
      </c>
      <c r="J33" s="108" t="str">
        <f t="shared" ref="J33" si="19">H33</f>
        <v>Chewblockers</v>
      </c>
    </row>
    <row r="34" spans="1:10" s="51" customFormat="1" ht="19.2" customHeight="1" x14ac:dyDescent="0.25">
      <c r="A34" s="108" t="str">
        <f t="shared" si="18"/>
        <v>Round 8</v>
      </c>
      <c r="B34" s="109">
        <f>B33</f>
        <v>45917</v>
      </c>
      <c r="C34" s="50" t="s">
        <v>102</v>
      </c>
      <c r="D34" s="108"/>
      <c r="E34" s="108"/>
      <c r="F34" s="108" t="s">
        <v>4</v>
      </c>
      <c r="G34" s="108"/>
      <c r="H34" s="108"/>
      <c r="I34" s="108"/>
      <c r="J34" s="108"/>
    </row>
    <row r="35" spans="1:10" s="51" customFormat="1" ht="19.2" customHeight="1" x14ac:dyDescent="0.25">
      <c r="A35" s="43"/>
      <c r="B35" s="44">
        <f>B34+7</f>
        <v>45924</v>
      </c>
      <c r="C35" s="45"/>
      <c r="D35" s="43"/>
      <c r="E35" s="43" t="s">
        <v>178</v>
      </c>
      <c r="F35" s="43"/>
      <c r="G35" s="43"/>
      <c r="H35" s="43"/>
      <c r="I35" s="43"/>
      <c r="J35" s="43"/>
    </row>
    <row r="36" spans="1:10" s="51" customFormat="1" ht="19.2" customHeight="1" x14ac:dyDescent="0.25">
      <c r="A36" s="43"/>
      <c r="B36" s="44">
        <f>B35+7</f>
        <v>45931</v>
      </c>
      <c r="C36" s="45"/>
      <c r="D36" s="43"/>
      <c r="E36" s="43" t="s">
        <v>178</v>
      </c>
      <c r="F36" s="43"/>
      <c r="G36" s="43"/>
      <c r="H36" s="43"/>
      <c r="I36" s="43"/>
      <c r="J36" s="43"/>
    </row>
    <row r="37" spans="1:10" s="51" customFormat="1" ht="19.2" customHeight="1" x14ac:dyDescent="0.25">
      <c r="A37" s="111" t="s">
        <v>26</v>
      </c>
      <c r="B37" s="112">
        <f>B36+7</f>
        <v>45938</v>
      </c>
      <c r="C37" s="113" t="s">
        <v>15</v>
      </c>
      <c r="D37" s="111" t="s">
        <v>0</v>
      </c>
      <c r="E37" s="111" t="str">
        <f t="shared" ref="E37" si="20">F37</f>
        <v>Ballz Deep</v>
      </c>
      <c r="F37" s="111" t="s">
        <v>133</v>
      </c>
      <c r="G37" s="111" t="s">
        <v>3</v>
      </c>
      <c r="H37" s="111" t="s">
        <v>4</v>
      </c>
      <c r="I37" s="111" t="str">
        <f>F38</f>
        <v>Practice Safe Sets</v>
      </c>
      <c r="J37" s="111"/>
    </row>
    <row r="38" spans="1:10" s="51" customFormat="1" ht="19.2" customHeight="1" x14ac:dyDescent="0.25">
      <c r="A38" s="111" t="str">
        <f>A37</f>
        <v>Round 9</v>
      </c>
      <c r="B38" s="112">
        <f>B37</f>
        <v>45938</v>
      </c>
      <c r="C38" s="113" t="s">
        <v>16</v>
      </c>
      <c r="D38" s="111" t="s">
        <v>0</v>
      </c>
      <c r="E38" s="111"/>
      <c r="F38" s="111" t="s">
        <v>124</v>
      </c>
      <c r="G38" s="111" t="s">
        <v>3</v>
      </c>
      <c r="H38" s="111" t="s">
        <v>180</v>
      </c>
      <c r="I38" s="111" t="str">
        <f>H37</f>
        <v>Dunlop Volley</v>
      </c>
      <c r="J38" s="111"/>
    </row>
    <row r="39" spans="1:10" s="51" customFormat="1" ht="19.2" customHeight="1" x14ac:dyDescent="0.25">
      <c r="A39" s="111" t="str">
        <f t="shared" ref="A39:A40" si="21">A38</f>
        <v>Round 9</v>
      </c>
      <c r="B39" s="112">
        <f>B38</f>
        <v>45938</v>
      </c>
      <c r="C39" s="113" t="s">
        <v>17</v>
      </c>
      <c r="D39" s="111" t="s">
        <v>0</v>
      </c>
      <c r="E39" s="111"/>
      <c r="F39" s="111" t="s">
        <v>154</v>
      </c>
      <c r="G39" s="111" t="s">
        <v>3</v>
      </c>
      <c r="H39" s="111" t="s">
        <v>121</v>
      </c>
      <c r="I39" s="111" t="str">
        <f>H38</f>
        <v>Fitroy Rebels</v>
      </c>
      <c r="J39" s="111" t="str">
        <f t="shared" ref="J39" si="22">H39</f>
        <v>Chewblockers</v>
      </c>
    </row>
    <row r="40" spans="1:10" s="51" customFormat="1" ht="19.2" customHeight="1" x14ac:dyDescent="0.25">
      <c r="A40" s="111" t="str">
        <f t="shared" si="21"/>
        <v>Round 9</v>
      </c>
      <c r="B40" s="112">
        <f>B37</f>
        <v>45938</v>
      </c>
      <c r="C40" s="113" t="s">
        <v>102</v>
      </c>
      <c r="D40" s="111"/>
      <c r="E40" s="111"/>
      <c r="F40" s="111" t="s">
        <v>179</v>
      </c>
      <c r="G40" s="111"/>
      <c r="H40" s="111"/>
      <c r="I40" s="111"/>
      <c r="J40" s="111"/>
    </row>
    <row r="41" spans="1:10" s="51" customFormat="1" ht="19.2" customHeight="1" x14ac:dyDescent="0.25">
      <c r="A41" s="108" t="s">
        <v>27</v>
      </c>
      <c r="B41" s="109">
        <f>B37+7</f>
        <v>45945</v>
      </c>
      <c r="C41" s="50" t="s">
        <v>15</v>
      </c>
      <c r="D41" s="108" t="s">
        <v>0</v>
      </c>
      <c r="E41" s="108" t="str">
        <f t="shared" ref="E41" si="23">F41</f>
        <v>Practice Safe Sets</v>
      </c>
      <c r="F41" s="108" t="s">
        <v>124</v>
      </c>
      <c r="G41" s="108" t="s">
        <v>3</v>
      </c>
      <c r="H41" s="108" t="s">
        <v>179</v>
      </c>
      <c r="I41" s="108" t="str">
        <f>F42</f>
        <v>Chewblockers</v>
      </c>
      <c r="J41" s="108"/>
    </row>
    <row r="42" spans="1:10" s="51" customFormat="1" ht="19.2" customHeight="1" x14ac:dyDescent="0.25">
      <c r="A42" s="108" t="str">
        <f>A41</f>
        <v>Round 10</v>
      </c>
      <c r="B42" s="109">
        <f>B41</f>
        <v>45945</v>
      </c>
      <c r="C42" s="50" t="s">
        <v>16</v>
      </c>
      <c r="D42" s="108" t="s">
        <v>0</v>
      </c>
      <c r="E42" s="108"/>
      <c r="F42" s="108" t="s">
        <v>121</v>
      </c>
      <c r="G42" s="108" t="s">
        <v>3</v>
      </c>
      <c r="H42" s="108" t="s">
        <v>4</v>
      </c>
      <c r="I42" s="108" t="str">
        <f>H41</f>
        <v>Back In The Day</v>
      </c>
      <c r="J42" s="108"/>
    </row>
    <row r="43" spans="1:10" s="51" customFormat="1" ht="19.2" customHeight="1" x14ac:dyDescent="0.25">
      <c r="A43" s="108" t="str">
        <f t="shared" ref="A43:A44" si="24">A42</f>
        <v>Round 10</v>
      </c>
      <c r="B43" s="109">
        <f>B42</f>
        <v>45945</v>
      </c>
      <c r="C43" s="50" t="s">
        <v>17</v>
      </c>
      <c r="D43" s="108" t="s">
        <v>0</v>
      </c>
      <c r="E43" s="108"/>
      <c r="F43" s="108" t="s">
        <v>180</v>
      </c>
      <c r="G43" s="108" t="s">
        <v>3</v>
      </c>
      <c r="H43" s="108" t="s">
        <v>154</v>
      </c>
      <c r="I43" s="108" t="str">
        <f>H42</f>
        <v>Dunlop Volley</v>
      </c>
      <c r="J43" s="108" t="str">
        <f t="shared" ref="J43" si="25">H43</f>
        <v>Pan Set</v>
      </c>
    </row>
    <row r="44" spans="1:10" s="51" customFormat="1" ht="19.2" customHeight="1" x14ac:dyDescent="0.25">
      <c r="A44" s="108" t="str">
        <f t="shared" si="24"/>
        <v>Round 10</v>
      </c>
      <c r="B44" s="109">
        <f>B43</f>
        <v>45945</v>
      </c>
      <c r="C44" s="50" t="s">
        <v>102</v>
      </c>
      <c r="D44" s="108"/>
      <c r="E44" s="108"/>
      <c r="F44" s="108" t="s">
        <v>133</v>
      </c>
      <c r="G44" s="108"/>
      <c r="H44" s="108"/>
      <c r="I44" s="108"/>
      <c r="J44" s="108"/>
    </row>
    <row r="45" spans="1:10" s="51" customFormat="1" ht="19.2" customHeight="1" x14ac:dyDescent="0.25">
      <c r="A45" s="111" t="s">
        <v>28</v>
      </c>
      <c r="B45" s="112">
        <f>B41+7</f>
        <v>45952</v>
      </c>
      <c r="C45" s="113" t="s">
        <v>15</v>
      </c>
      <c r="D45" s="111" t="s">
        <v>0</v>
      </c>
      <c r="E45" s="111" t="str">
        <f t="shared" ref="E45" si="26">F45</f>
        <v>Chewblockers</v>
      </c>
      <c r="F45" s="111" t="s">
        <v>121</v>
      </c>
      <c r="G45" s="111" t="s">
        <v>3</v>
      </c>
      <c r="H45" s="111" t="s">
        <v>133</v>
      </c>
      <c r="I45" s="111" t="str">
        <f>F46</f>
        <v>Back In The Day</v>
      </c>
      <c r="J45" s="111"/>
    </row>
    <row r="46" spans="1:10" s="51" customFormat="1" ht="19.2" customHeight="1" x14ac:dyDescent="0.25">
      <c r="A46" s="111" t="str">
        <f>A45</f>
        <v>Round 11</v>
      </c>
      <c r="B46" s="112">
        <f>B45</f>
        <v>45952</v>
      </c>
      <c r="C46" s="113" t="s">
        <v>16</v>
      </c>
      <c r="D46" s="111" t="s">
        <v>0</v>
      </c>
      <c r="E46" s="111"/>
      <c r="F46" s="111" t="s">
        <v>179</v>
      </c>
      <c r="G46" s="111" t="s">
        <v>3</v>
      </c>
      <c r="H46" s="111" t="s">
        <v>154</v>
      </c>
      <c r="I46" s="111" t="str">
        <f>H45</f>
        <v>Ballz Deep</v>
      </c>
      <c r="J46" s="111"/>
    </row>
    <row r="47" spans="1:10" s="51" customFormat="1" ht="19.2" customHeight="1" x14ac:dyDescent="0.25">
      <c r="A47" s="111" t="str">
        <f t="shared" ref="A47:A48" si="27">A46</f>
        <v>Round 11</v>
      </c>
      <c r="B47" s="112">
        <f>B46</f>
        <v>45952</v>
      </c>
      <c r="C47" s="113" t="s">
        <v>17</v>
      </c>
      <c r="D47" s="111" t="s">
        <v>0</v>
      </c>
      <c r="E47" s="111"/>
      <c r="F47" s="111" t="s">
        <v>4</v>
      </c>
      <c r="G47" s="111" t="s">
        <v>3</v>
      </c>
      <c r="H47" s="111" t="s">
        <v>180</v>
      </c>
      <c r="I47" s="111" t="str">
        <f>H46</f>
        <v>Pan Set</v>
      </c>
      <c r="J47" s="111" t="str">
        <f t="shared" ref="J47" si="28">H47</f>
        <v>Fitroy Rebels</v>
      </c>
    </row>
    <row r="48" spans="1:10" s="51" customFormat="1" ht="19.2" customHeight="1" x14ac:dyDescent="0.25">
      <c r="A48" s="111" t="str">
        <f t="shared" si="27"/>
        <v>Round 11</v>
      </c>
      <c r="B48" s="112">
        <f>B45</f>
        <v>45952</v>
      </c>
      <c r="C48" s="113" t="s">
        <v>102</v>
      </c>
      <c r="D48" s="111"/>
      <c r="E48" s="111"/>
      <c r="F48" s="111" t="s">
        <v>124</v>
      </c>
      <c r="G48" s="111"/>
      <c r="H48" s="111"/>
      <c r="I48" s="111"/>
      <c r="J48" s="111"/>
    </row>
    <row r="49" spans="1:10" ht="19.2" customHeight="1" x14ac:dyDescent="0.25">
      <c r="B49" s="115"/>
      <c r="C49" s="116"/>
      <c r="D49" s="114"/>
      <c r="E49" s="114"/>
      <c r="F49" s="114"/>
      <c r="G49" s="114"/>
      <c r="H49" s="114"/>
      <c r="I49" s="114"/>
      <c r="J49" s="114"/>
    </row>
    <row r="51" spans="1:10" ht="19.2" customHeight="1" x14ac:dyDescent="0.25">
      <c r="A51" s="43" t="s">
        <v>92</v>
      </c>
      <c r="B51" s="44" t="s">
        <v>6</v>
      </c>
      <c r="C51" s="45" t="s">
        <v>7</v>
      </c>
      <c r="D51" s="43" t="s">
        <v>8</v>
      </c>
      <c r="E51" s="43" t="s">
        <v>91</v>
      </c>
      <c r="F51" s="43" t="s">
        <v>10</v>
      </c>
      <c r="G51" s="43"/>
      <c r="H51" s="43" t="s">
        <v>11</v>
      </c>
      <c r="I51" s="43" t="s">
        <v>90</v>
      </c>
      <c r="J51" s="43" t="s">
        <v>99</v>
      </c>
    </row>
    <row r="52" spans="1:10" s="51" customFormat="1" ht="19.2" customHeight="1" x14ac:dyDescent="0.25">
      <c r="A52" s="111" t="s">
        <v>29</v>
      </c>
      <c r="B52" s="112">
        <f>B45+7</f>
        <v>45959</v>
      </c>
      <c r="C52" s="113" t="s">
        <v>15</v>
      </c>
      <c r="D52" s="111" t="s">
        <v>0</v>
      </c>
      <c r="E52" s="111" t="str">
        <f t="shared" ref="E52" si="29">F52</f>
        <v>Pan Set</v>
      </c>
      <c r="F52" s="111" t="s">
        <v>154</v>
      </c>
      <c r="G52" s="111" t="s">
        <v>3</v>
      </c>
      <c r="H52" s="111" t="s">
        <v>124</v>
      </c>
      <c r="I52" s="111" t="str">
        <f>F53</f>
        <v>Ballz Deep</v>
      </c>
      <c r="J52" s="111"/>
    </row>
    <row r="53" spans="1:10" s="51" customFormat="1" ht="19.2" customHeight="1" x14ac:dyDescent="0.25">
      <c r="A53" s="111" t="str">
        <f>A52</f>
        <v>Round 12</v>
      </c>
      <c r="B53" s="112">
        <f>B52</f>
        <v>45959</v>
      </c>
      <c r="C53" s="113" t="s">
        <v>16</v>
      </c>
      <c r="D53" s="111" t="s">
        <v>0</v>
      </c>
      <c r="E53" s="111"/>
      <c r="F53" s="111" t="s">
        <v>133</v>
      </c>
      <c r="G53" s="111" t="s">
        <v>3</v>
      </c>
      <c r="H53" s="111" t="s">
        <v>180</v>
      </c>
      <c r="I53" s="111" t="str">
        <f>H52</f>
        <v>Practice Safe Sets</v>
      </c>
      <c r="J53" s="111"/>
    </row>
    <row r="54" spans="1:10" s="51" customFormat="1" ht="19.2" customHeight="1" x14ac:dyDescent="0.25">
      <c r="A54" s="111" t="str">
        <f t="shared" ref="A54:A55" si="30">A53</f>
        <v>Round 12</v>
      </c>
      <c r="B54" s="112">
        <f>B53</f>
        <v>45959</v>
      </c>
      <c r="C54" s="113" t="s">
        <v>17</v>
      </c>
      <c r="D54" s="111" t="s">
        <v>0</v>
      </c>
      <c r="E54" s="111"/>
      <c r="F54" s="111" t="s">
        <v>179</v>
      </c>
      <c r="G54" s="111" t="s">
        <v>3</v>
      </c>
      <c r="H54" s="111" t="s">
        <v>4</v>
      </c>
      <c r="I54" s="111" t="str">
        <f>H53</f>
        <v>Fitroy Rebels</v>
      </c>
      <c r="J54" s="111" t="str">
        <f t="shared" ref="J54" si="31">H54</f>
        <v>Dunlop Volley</v>
      </c>
    </row>
    <row r="55" spans="1:10" s="51" customFormat="1" ht="19.2" customHeight="1" x14ac:dyDescent="0.25">
      <c r="A55" s="111" t="str">
        <f t="shared" si="30"/>
        <v>Round 12</v>
      </c>
      <c r="B55" s="112">
        <f>B54</f>
        <v>45959</v>
      </c>
      <c r="C55" s="113" t="s">
        <v>102</v>
      </c>
      <c r="D55" s="111"/>
      <c r="E55" s="111"/>
      <c r="F55" s="111" t="s">
        <v>121</v>
      </c>
      <c r="G55" s="111"/>
      <c r="H55" s="111"/>
      <c r="I55" s="111"/>
      <c r="J55" s="111"/>
    </row>
    <row r="56" spans="1:10" s="51" customFormat="1" ht="19.2" customHeight="1" x14ac:dyDescent="0.25">
      <c r="A56" s="108" t="s">
        <v>30</v>
      </c>
      <c r="B56" s="109">
        <f>B52+7</f>
        <v>45966</v>
      </c>
      <c r="C56" s="50" t="s">
        <v>15</v>
      </c>
      <c r="D56" s="108" t="s">
        <v>0</v>
      </c>
      <c r="E56" s="108" t="str">
        <f t="shared" ref="E56" si="32">F56</f>
        <v>Fitroy Rebels</v>
      </c>
      <c r="F56" s="108" t="s">
        <v>180</v>
      </c>
      <c r="G56" s="108" t="s">
        <v>3</v>
      </c>
      <c r="H56" s="108" t="s">
        <v>121</v>
      </c>
      <c r="I56" s="108" t="str">
        <f>F57</f>
        <v>Practice Safe Sets</v>
      </c>
      <c r="J56" s="108"/>
    </row>
    <row r="57" spans="1:10" s="51" customFormat="1" ht="19.2" customHeight="1" x14ac:dyDescent="0.25">
      <c r="A57" s="108" t="str">
        <f>A56</f>
        <v>Round 13</v>
      </c>
      <c r="B57" s="109">
        <f>B56</f>
        <v>45966</v>
      </c>
      <c r="C57" s="50" t="s">
        <v>16</v>
      </c>
      <c r="D57" s="108" t="s">
        <v>0</v>
      </c>
      <c r="E57" s="108"/>
      <c r="F57" s="108" t="s">
        <v>124</v>
      </c>
      <c r="G57" s="108" t="s">
        <v>3</v>
      </c>
      <c r="H57" s="108" t="s">
        <v>4</v>
      </c>
      <c r="I57" s="108" t="str">
        <f>H56</f>
        <v>Chewblockers</v>
      </c>
      <c r="J57" s="108"/>
    </row>
    <row r="58" spans="1:10" s="51" customFormat="1" ht="19.2" customHeight="1" x14ac:dyDescent="0.25">
      <c r="A58" s="108" t="str">
        <f t="shared" ref="A58:A59" si="33">A57</f>
        <v>Round 13</v>
      </c>
      <c r="B58" s="109">
        <f>B57</f>
        <v>45966</v>
      </c>
      <c r="C58" s="50" t="s">
        <v>17</v>
      </c>
      <c r="D58" s="108" t="s">
        <v>0</v>
      </c>
      <c r="E58" s="108"/>
      <c r="F58" s="108" t="s">
        <v>133</v>
      </c>
      <c r="G58" s="108" t="s">
        <v>3</v>
      </c>
      <c r="H58" s="108" t="s">
        <v>179</v>
      </c>
      <c r="I58" s="108" t="str">
        <f>H57</f>
        <v>Dunlop Volley</v>
      </c>
      <c r="J58" s="108" t="str">
        <f t="shared" ref="J58" si="34">H58</f>
        <v>Back In The Day</v>
      </c>
    </row>
    <row r="59" spans="1:10" s="51" customFormat="1" ht="19.2" customHeight="1" x14ac:dyDescent="0.25">
      <c r="A59" s="108" t="str">
        <f t="shared" si="33"/>
        <v>Round 13</v>
      </c>
      <c r="B59" s="109">
        <f>B56</f>
        <v>45966</v>
      </c>
      <c r="C59" s="50" t="s">
        <v>102</v>
      </c>
      <c r="D59" s="108"/>
      <c r="E59" s="108"/>
      <c r="F59" s="108" t="s">
        <v>154</v>
      </c>
      <c r="G59" s="108"/>
      <c r="H59" s="108"/>
      <c r="I59" s="108"/>
      <c r="J59" s="108"/>
    </row>
    <row r="60" spans="1:10" s="51" customFormat="1" ht="19.2" customHeight="1" x14ac:dyDescent="0.25">
      <c r="A60" s="111" t="s">
        <v>31</v>
      </c>
      <c r="B60" s="112">
        <f>B56+7</f>
        <v>45973</v>
      </c>
      <c r="C60" s="113" t="s">
        <v>15</v>
      </c>
      <c r="D60" s="111" t="s">
        <v>0</v>
      </c>
      <c r="E60" s="111" t="str">
        <f t="shared" ref="E60" si="35">F60</f>
        <v>Dunlop Volley</v>
      </c>
      <c r="F60" s="111" t="s">
        <v>4</v>
      </c>
      <c r="G60" s="111" t="s">
        <v>3</v>
      </c>
      <c r="H60" s="111" t="s">
        <v>154</v>
      </c>
      <c r="I60" s="111" t="str">
        <f>F61</f>
        <v>Chewblockers</v>
      </c>
      <c r="J60" s="111"/>
    </row>
    <row r="61" spans="1:10" s="51" customFormat="1" ht="19.2" customHeight="1" x14ac:dyDescent="0.25">
      <c r="A61" s="111" t="str">
        <f>A60</f>
        <v>Round 14</v>
      </c>
      <c r="B61" s="112">
        <f>B60</f>
        <v>45973</v>
      </c>
      <c r="C61" s="113" t="s">
        <v>16</v>
      </c>
      <c r="D61" s="111" t="s">
        <v>0</v>
      </c>
      <c r="E61" s="111"/>
      <c r="F61" s="111" t="s">
        <v>121</v>
      </c>
      <c r="G61" s="111" t="s">
        <v>3</v>
      </c>
      <c r="H61" s="111" t="s">
        <v>179</v>
      </c>
      <c r="I61" s="111" t="str">
        <f>H60</f>
        <v>Pan Set</v>
      </c>
      <c r="J61" s="111"/>
    </row>
    <row r="62" spans="1:10" s="51" customFormat="1" ht="19.2" customHeight="1" x14ac:dyDescent="0.25">
      <c r="A62" s="111" t="str">
        <f t="shared" ref="A62:A63" si="36">A61</f>
        <v>Round 14</v>
      </c>
      <c r="B62" s="112">
        <f>B61</f>
        <v>45973</v>
      </c>
      <c r="C62" s="113" t="s">
        <v>17</v>
      </c>
      <c r="D62" s="111" t="s">
        <v>0</v>
      </c>
      <c r="E62" s="111"/>
      <c r="F62" s="111" t="s">
        <v>124</v>
      </c>
      <c r="G62" s="111" t="s">
        <v>3</v>
      </c>
      <c r="H62" s="111" t="s">
        <v>133</v>
      </c>
      <c r="I62" s="111" t="str">
        <f>H61</f>
        <v>Back In The Day</v>
      </c>
      <c r="J62" s="111" t="str">
        <f t="shared" ref="J62" si="37">H62</f>
        <v>Ballz Deep</v>
      </c>
    </row>
    <row r="63" spans="1:10" ht="19.2" customHeight="1" x14ac:dyDescent="0.25">
      <c r="A63" s="111" t="str">
        <f t="shared" si="36"/>
        <v>Round 14</v>
      </c>
      <c r="B63" s="112">
        <f>B62</f>
        <v>45973</v>
      </c>
      <c r="C63" s="113" t="s">
        <v>102</v>
      </c>
      <c r="D63" s="111"/>
      <c r="E63" s="111"/>
      <c r="F63" s="111" t="s">
        <v>180</v>
      </c>
      <c r="G63" s="111"/>
      <c r="H63" s="111"/>
      <c r="I63" s="111"/>
      <c r="J63" s="111"/>
    </row>
    <row r="64" spans="1:10" ht="19.2" customHeight="1" x14ac:dyDescent="0.25">
      <c r="A64" s="123" t="s">
        <v>103</v>
      </c>
      <c r="B64" s="44">
        <f>B60+7</f>
        <v>45980</v>
      </c>
      <c r="C64" s="45" t="s">
        <v>15</v>
      </c>
      <c r="D64" s="43" t="s">
        <v>0</v>
      </c>
      <c r="E64" s="43" t="str">
        <f>F64</f>
        <v>Chewblockers</v>
      </c>
      <c r="F64" s="43" t="s">
        <v>121</v>
      </c>
      <c r="G64" s="43" t="s">
        <v>3</v>
      </c>
      <c r="H64" s="43" t="s">
        <v>179</v>
      </c>
      <c r="I64" s="43" t="str">
        <f>F65</f>
        <v>Practice Safe Sets</v>
      </c>
      <c r="J64" s="43"/>
    </row>
    <row r="65" spans="1:10" ht="19.2" customHeight="1" x14ac:dyDescent="0.25">
      <c r="A65" s="123" t="str">
        <f>A64</f>
        <v>Prelim Final</v>
      </c>
      <c r="B65" s="44">
        <f>B64</f>
        <v>45980</v>
      </c>
      <c r="C65" s="45" t="s">
        <v>16</v>
      </c>
      <c r="D65" s="43" t="s">
        <v>0</v>
      </c>
      <c r="E65" s="43"/>
      <c r="F65" s="43" t="s">
        <v>124</v>
      </c>
      <c r="G65" s="43" t="s">
        <v>3</v>
      </c>
      <c r="H65" s="43" t="s">
        <v>4</v>
      </c>
      <c r="I65" s="43" t="str">
        <f>H64</f>
        <v>Back In The Day</v>
      </c>
      <c r="J65" s="43" t="str">
        <f>H65</f>
        <v>Dunlop Volley</v>
      </c>
    </row>
    <row r="66" spans="1:10" ht="19.2" customHeight="1" x14ac:dyDescent="0.25">
      <c r="A66" s="43" t="s">
        <v>104</v>
      </c>
      <c r="B66" s="44">
        <f>B65+7</f>
        <v>45987</v>
      </c>
      <c r="C66" s="45" t="s">
        <v>15</v>
      </c>
      <c r="D66" s="43" t="s">
        <v>0</v>
      </c>
      <c r="E66" s="43" t="str">
        <f>F66</f>
        <v>Chewblockers</v>
      </c>
      <c r="F66" s="43" t="s">
        <v>121</v>
      </c>
      <c r="G66" s="43" t="s">
        <v>3</v>
      </c>
      <c r="H66" s="43" t="s">
        <v>4</v>
      </c>
      <c r="I66" s="43" t="str">
        <f>F67</f>
        <v>Back In The Day</v>
      </c>
      <c r="J66" s="43" t="str">
        <f>H66</f>
        <v>Dunlop Volley</v>
      </c>
    </row>
    <row r="67" spans="1:10" ht="19.2" customHeight="1" x14ac:dyDescent="0.25">
      <c r="A67" s="43" t="s">
        <v>105</v>
      </c>
      <c r="B67" s="44">
        <f>B66+7</f>
        <v>45994</v>
      </c>
      <c r="C67" s="45" t="s">
        <v>16</v>
      </c>
      <c r="D67" s="43" t="s">
        <v>0</v>
      </c>
      <c r="E67" s="43" t="str">
        <f>F67</f>
        <v>Back In The Day</v>
      </c>
      <c r="F67" s="43" t="s">
        <v>179</v>
      </c>
      <c r="G67" s="43" t="s">
        <v>3</v>
      </c>
      <c r="H67" s="43" t="s">
        <v>121</v>
      </c>
      <c r="I67" s="43" t="s">
        <v>208</v>
      </c>
      <c r="J67" s="43" t="str">
        <f>H67</f>
        <v>Chewblockers</v>
      </c>
    </row>
    <row r="76" spans="1:10" ht="19.2" customHeight="1" x14ac:dyDescent="0.25">
      <c r="A76" s="117" t="s">
        <v>89</v>
      </c>
      <c r="B76" s="117" t="s">
        <v>66</v>
      </c>
      <c r="C76" s="144" t="s">
        <v>134</v>
      </c>
      <c r="D76" s="144"/>
      <c r="E76" s="52" t="s">
        <v>63</v>
      </c>
      <c r="F76" s="52" t="s">
        <v>10</v>
      </c>
      <c r="H76" s="52" t="s">
        <v>11</v>
      </c>
      <c r="I76" s="52" t="s">
        <v>64</v>
      </c>
      <c r="J76" s="52" t="s">
        <v>65</v>
      </c>
    </row>
    <row r="77" spans="1:10" ht="19.2" customHeight="1" x14ac:dyDescent="0.25">
      <c r="A77" s="52">
        <f>F77+H77</f>
        <v>14</v>
      </c>
      <c r="B77" s="52">
        <f>E77+I77+J77</f>
        <v>10</v>
      </c>
      <c r="C77" s="144" t="s">
        <v>179</v>
      </c>
      <c r="D77" s="144"/>
      <c r="E77" s="52">
        <f t="shared" ref="E77:F83" si="38">COUNTIF(E$1:E$63,$C77)</f>
        <v>2</v>
      </c>
      <c r="F77" s="52">
        <f t="shared" si="38"/>
        <v>8</v>
      </c>
      <c r="H77" s="52">
        <f t="shared" ref="H77:J83" si="39">COUNTIF(H$1:H$63,$C77)</f>
        <v>6</v>
      </c>
      <c r="I77" s="52">
        <f t="shared" si="39"/>
        <v>6</v>
      </c>
      <c r="J77" s="52">
        <f t="shared" si="39"/>
        <v>2</v>
      </c>
    </row>
    <row r="78" spans="1:10" ht="19.2" customHeight="1" x14ac:dyDescent="0.25">
      <c r="A78" s="52">
        <f t="shared" ref="A78:A83" si="40">F78+H78</f>
        <v>14</v>
      </c>
      <c r="B78" s="52">
        <f t="shared" ref="B78:B83" si="41">E78+I78+J78</f>
        <v>10</v>
      </c>
      <c r="C78" s="144" t="s">
        <v>133</v>
      </c>
      <c r="D78" s="144"/>
      <c r="E78" s="52">
        <f t="shared" si="38"/>
        <v>2</v>
      </c>
      <c r="F78" s="52">
        <f t="shared" si="38"/>
        <v>10</v>
      </c>
      <c r="H78" s="52">
        <f t="shared" si="39"/>
        <v>4</v>
      </c>
      <c r="I78" s="52">
        <f t="shared" si="39"/>
        <v>6</v>
      </c>
      <c r="J78" s="52">
        <f t="shared" si="39"/>
        <v>2</v>
      </c>
    </row>
    <row r="79" spans="1:10" ht="19.2" customHeight="1" x14ac:dyDescent="0.25">
      <c r="A79" s="52">
        <f t="shared" si="40"/>
        <v>14</v>
      </c>
      <c r="B79" s="52">
        <f t="shared" si="41"/>
        <v>10</v>
      </c>
      <c r="C79" s="144" t="s">
        <v>121</v>
      </c>
      <c r="D79" s="144"/>
      <c r="E79" s="52">
        <f t="shared" si="38"/>
        <v>2</v>
      </c>
      <c r="F79" s="52">
        <f t="shared" si="38"/>
        <v>10</v>
      </c>
      <c r="H79" s="52">
        <f t="shared" si="39"/>
        <v>4</v>
      </c>
      <c r="I79" s="52">
        <f t="shared" si="39"/>
        <v>6</v>
      </c>
      <c r="J79" s="52">
        <f t="shared" si="39"/>
        <v>2</v>
      </c>
    </row>
    <row r="80" spans="1:10" ht="19.2" customHeight="1" x14ac:dyDescent="0.25">
      <c r="A80" s="52">
        <f t="shared" si="40"/>
        <v>14</v>
      </c>
      <c r="B80" s="52">
        <f t="shared" si="41"/>
        <v>9</v>
      </c>
      <c r="C80" s="144" t="s">
        <v>4</v>
      </c>
      <c r="D80" s="144"/>
      <c r="E80" s="52">
        <f t="shared" si="38"/>
        <v>2</v>
      </c>
      <c r="F80" s="52">
        <f t="shared" si="38"/>
        <v>7</v>
      </c>
      <c r="H80" s="52">
        <f t="shared" si="39"/>
        <v>7</v>
      </c>
      <c r="I80" s="52">
        <f t="shared" si="39"/>
        <v>6</v>
      </c>
      <c r="J80" s="52">
        <f t="shared" si="39"/>
        <v>1</v>
      </c>
    </row>
    <row r="81" spans="1:10" ht="19.2" customHeight="1" x14ac:dyDescent="0.25">
      <c r="A81" s="52">
        <f t="shared" si="40"/>
        <v>14</v>
      </c>
      <c r="B81" s="52">
        <f t="shared" si="41"/>
        <v>10</v>
      </c>
      <c r="C81" s="144" t="s">
        <v>180</v>
      </c>
      <c r="D81" s="144"/>
      <c r="E81" s="52">
        <f t="shared" si="38"/>
        <v>2</v>
      </c>
      <c r="F81" s="52">
        <f t="shared" si="38"/>
        <v>6</v>
      </c>
      <c r="H81" s="52">
        <f t="shared" si="39"/>
        <v>8</v>
      </c>
      <c r="I81" s="52">
        <f t="shared" si="39"/>
        <v>6</v>
      </c>
      <c r="J81" s="52">
        <f t="shared" si="39"/>
        <v>2</v>
      </c>
    </row>
    <row r="82" spans="1:10" ht="19.2" customHeight="1" x14ac:dyDescent="0.25">
      <c r="A82" s="52">
        <f t="shared" si="40"/>
        <v>14</v>
      </c>
      <c r="B82" s="52">
        <f t="shared" si="41"/>
        <v>11</v>
      </c>
      <c r="C82" s="144" t="s">
        <v>154</v>
      </c>
      <c r="D82" s="144"/>
      <c r="E82" s="52">
        <f t="shared" si="38"/>
        <v>2</v>
      </c>
      <c r="F82" s="52">
        <f t="shared" si="38"/>
        <v>5</v>
      </c>
      <c r="H82" s="52">
        <f t="shared" si="39"/>
        <v>9</v>
      </c>
      <c r="I82" s="52">
        <f t="shared" si="39"/>
        <v>6</v>
      </c>
      <c r="J82" s="52">
        <f t="shared" si="39"/>
        <v>3</v>
      </c>
    </row>
    <row r="83" spans="1:10" ht="19.2" customHeight="1" x14ac:dyDescent="0.25">
      <c r="A83" s="52">
        <f t="shared" si="40"/>
        <v>14</v>
      </c>
      <c r="B83" s="52">
        <f t="shared" si="41"/>
        <v>10</v>
      </c>
      <c r="C83" s="144" t="s">
        <v>124</v>
      </c>
      <c r="D83" s="144"/>
      <c r="E83" s="52">
        <f t="shared" si="38"/>
        <v>2</v>
      </c>
      <c r="F83" s="52">
        <f t="shared" si="38"/>
        <v>10</v>
      </c>
      <c r="H83" s="52">
        <f t="shared" si="39"/>
        <v>4</v>
      </c>
      <c r="I83" s="52">
        <f t="shared" si="39"/>
        <v>6</v>
      </c>
      <c r="J83" s="52">
        <f t="shared" si="39"/>
        <v>2</v>
      </c>
    </row>
  </sheetData>
  <mergeCells count="8">
    <mergeCell ref="C76:D76"/>
    <mergeCell ref="C82:D82"/>
    <mergeCell ref="C83:D83"/>
    <mergeCell ref="C81:D81"/>
    <mergeCell ref="C77:D77"/>
    <mergeCell ref="C78:D78"/>
    <mergeCell ref="C79:D79"/>
    <mergeCell ref="C80:D80"/>
  </mergeCells>
  <phoneticPr fontId="2" type="noConversion"/>
  <pageMargins left="0.23622047244094491" right="0.23622047244094491" top="0.74803149606299213" bottom="0.74803149606299213" header="0.31496062992125984" footer="0.31496062992125984"/>
  <pageSetup paperSize="9" orientation="landscape" r:id="rId1"/>
  <headerFooter>
    <oddHeader>&amp;C&amp;A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58039-0BAB-4F06-808C-98E9CA558D34}">
  <sheetPr codeName="Sheet14"/>
  <dimension ref="A1:J83"/>
  <sheetViews>
    <sheetView topLeftCell="A54" workbookViewId="0">
      <selection activeCell="A67" sqref="A67:J67"/>
    </sheetView>
  </sheetViews>
  <sheetFormatPr defaultColWidth="8.6640625" defaultRowHeight="19.2" customHeight="1" x14ac:dyDescent="0.25"/>
  <cols>
    <col min="1" max="1" width="10.5546875" style="52" customWidth="1"/>
    <col min="2" max="2" width="8.6640625" style="53" customWidth="1"/>
    <col min="3" max="3" width="8.6640625" style="54" customWidth="1"/>
    <col min="4" max="4" width="8.6640625" style="52" customWidth="1"/>
    <col min="5" max="6" width="19.33203125" style="52" customWidth="1"/>
    <col min="7" max="7" width="5.6640625" style="52" customWidth="1"/>
    <col min="8" max="10" width="19.33203125" style="52" customWidth="1"/>
    <col min="11" max="12" width="8" style="46" customWidth="1"/>
    <col min="13" max="16384" width="8.6640625" style="46"/>
  </cols>
  <sheetData>
    <row r="1" spans="1:10" ht="19.2" customHeight="1" x14ac:dyDescent="0.25">
      <c r="A1" s="43" t="s">
        <v>92</v>
      </c>
      <c r="B1" s="44" t="s">
        <v>6</v>
      </c>
      <c r="C1" s="45" t="s">
        <v>7</v>
      </c>
      <c r="D1" s="43" t="s">
        <v>8</v>
      </c>
      <c r="E1" s="43" t="s">
        <v>91</v>
      </c>
      <c r="F1" s="43" t="s">
        <v>10</v>
      </c>
      <c r="G1" s="43"/>
      <c r="H1" s="43" t="s">
        <v>11</v>
      </c>
      <c r="I1" s="43" t="s">
        <v>90</v>
      </c>
      <c r="J1" s="43" t="s">
        <v>99</v>
      </c>
    </row>
    <row r="2" spans="1:10" ht="19.2" customHeight="1" x14ac:dyDescent="0.25">
      <c r="A2" s="47" t="s">
        <v>14</v>
      </c>
      <c r="B2" s="48">
        <v>45868</v>
      </c>
      <c r="C2" s="49" t="s">
        <v>15</v>
      </c>
      <c r="D2" s="47" t="s">
        <v>1</v>
      </c>
      <c r="E2" s="47" t="str">
        <f>F2</f>
        <v>Ball Slappers</v>
      </c>
      <c r="F2" s="47" t="s">
        <v>152</v>
      </c>
      <c r="G2" s="47" t="s">
        <v>3</v>
      </c>
      <c r="H2" s="47" t="s">
        <v>146</v>
      </c>
      <c r="I2" s="47" t="str">
        <f>F3</f>
        <v>Diggin It</v>
      </c>
      <c r="J2" s="47"/>
    </row>
    <row r="3" spans="1:10" ht="19.2" customHeight="1" x14ac:dyDescent="0.25">
      <c r="A3" s="47" t="str">
        <f>A2</f>
        <v>Round 1</v>
      </c>
      <c r="B3" s="48">
        <f>B2</f>
        <v>45868</v>
      </c>
      <c r="C3" s="49" t="s">
        <v>16</v>
      </c>
      <c r="D3" s="47" t="s">
        <v>1</v>
      </c>
      <c r="E3" s="47"/>
      <c r="F3" s="47" t="s">
        <v>182</v>
      </c>
      <c r="G3" s="47" t="s">
        <v>3</v>
      </c>
      <c r="H3" s="47" t="s">
        <v>145</v>
      </c>
      <c r="I3" s="47" t="str">
        <f>H2</f>
        <v>Fitzroy Freaks</v>
      </c>
      <c r="J3" s="47"/>
    </row>
    <row r="4" spans="1:10" ht="19.2" customHeight="1" x14ac:dyDescent="0.25">
      <c r="A4" s="47" t="str">
        <f t="shared" ref="A4:A5" si="0">A3</f>
        <v>Round 1</v>
      </c>
      <c r="B4" s="48">
        <f>B3</f>
        <v>45868</v>
      </c>
      <c r="C4" s="49" t="s">
        <v>17</v>
      </c>
      <c r="D4" s="47" t="s">
        <v>1</v>
      </c>
      <c r="E4" s="47"/>
      <c r="F4" s="47" t="s">
        <v>115</v>
      </c>
      <c r="G4" s="47" t="s">
        <v>3</v>
      </c>
      <c r="H4" s="47" t="s">
        <v>151</v>
      </c>
      <c r="I4" s="47" t="str">
        <f>H3</f>
        <v>Fitzroy Ferals</v>
      </c>
      <c r="J4" s="47" t="str">
        <f>H4</f>
        <v>No Diggity</v>
      </c>
    </row>
    <row r="5" spans="1:10" ht="19.2" customHeight="1" x14ac:dyDescent="0.25">
      <c r="A5" s="47" t="str">
        <f t="shared" si="0"/>
        <v>Round 1</v>
      </c>
      <c r="B5" s="48">
        <f>B4</f>
        <v>45868</v>
      </c>
      <c r="C5" s="49" t="s">
        <v>102</v>
      </c>
      <c r="D5" s="47"/>
      <c r="E5" s="47"/>
      <c r="F5" s="47" t="s">
        <v>181</v>
      </c>
      <c r="G5" s="47"/>
      <c r="H5" s="47"/>
      <c r="I5" s="47"/>
      <c r="J5" s="47"/>
    </row>
    <row r="6" spans="1:10" ht="19.2" customHeight="1" x14ac:dyDescent="0.25">
      <c r="A6" s="108" t="s">
        <v>18</v>
      </c>
      <c r="B6" s="109">
        <f>B2+7</f>
        <v>45875</v>
      </c>
      <c r="C6" s="50" t="s">
        <v>15</v>
      </c>
      <c r="D6" s="108" t="s">
        <v>1</v>
      </c>
      <c r="E6" s="108" t="str">
        <f>F6</f>
        <v>Diggin It</v>
      </c>
      <c r="F6" s="108" t="s">
        <v>182</v>
      </c>
      <c r="G6" s="108" t="s">
        <v>3</v>
      </c>
      <c r="H6" s="108" t="s">
        <v>181</v>
      </c>
      <c r="I6" s="108" t="str">
        <f>F7</f>
        <v>No Diggity</v>
      </c>
      <c r="J6" s="108"/>
    </row>
    <row r="7" spans="1:10" ht="19.2" customHeight="1" x14ac:dyDescent="0.25">
      <c r="A7" s="108" t="str">
        <f>A6</f>
        <v>Round 2</v>
      </c>
      <c r="B7" s="109">
        <f>B6</f>
        <v>45875</v>
      </c>
      <c r="C7" s="50" t="s">
        <v>16</v>
      </c>
      <c r="D7" s="108" t="s">
        <v>1</v>
      </c>
      <c r="E7" s="108"/>
      <c r="F7" s="108" t="s">
        <v>151</v>
      </c>
      <c r="G7" s="108" t="s">
        <v>3</v>
      </c>
      <c r="H7" s="108" t="s">
        <v>146</v>
      </c>
      <c r="I7" s="108" t="str">
        <f>H6</f>
        <v>Bull Spikers</v>
      </c>
      <c r="J7" s="108"/>
    </row>
    <row r="8" spans="1:10" ht="19.2" customHeight="1" x14ac:dyDescent="0.25">
      <c r="A8" s="108" t="str">
        <f t="shared" ref="A8:A9" si="1">A7</f>
        <v>Round 2</v>
      </c>
      <c r="B8" s="109">
        <f>B7</f>
        <v>45875</v>
      </c>
      <c r="C8" s="50" t="s">
        <v>17</v>
      </c>
      <c r="D8" s="108" t="s">
        <v>1</v>
      </c>
      <c r="E8" s="108"/>
      <c r="F8" s="108" t="s">
        <v>115</v>
      </c>
      <c r="G8" s="108" t="s">
        <v>3</v>
      </c>
      <c r="H8" s="108" t="s">
        <v>145</v>
      </c>
      <c r="I8" s="108" t="str">
        <f>H7</f>
        <v>Fitzroy Freaks</v>
      </c>
      <c r="J8" s="108" t="str">
        <f>H8</f>
        <v>Fitzroy Ferals</v>
      </c>
    </row>
    <row r="9" spans="1:10" ht="19.2" customHeight="1" x14ac:dyDescent="0.25">
      <c r="A9" s="108" t="str">
        <f t="shared" si="1"/>
        <v>Round 2</v>
      </c>
      <c r="B9" s="109">
        <f>B6</f>
        <v>45875</v>
      </c>
      <c r="C9" s="50" t="s">
        <v>102</v>
      </c>
      <c r="D9" s="108"/>
      <c r="E9" s="108"/>
      <c r="F9" s="108" t="s">
        <v>152</v>
      </c>
      <c r="G9" s="108"/>
      <c r="H9" s="108"/>
      <c r="I9" s="108"/>
      <c r="J9" s="108"/>
    </row>
    <row r="10" spans="1:10" ht="19.2" customHeight="1" x14ac:dyDescent="0.25">
      <c r="A10" s="47" t="s">
        <v>19</v>
      </c>
      <c r="B10" s="48">
        <f>B6+7</f>
        <v>45882</v>
      </c>
      <c r="C10" s="49" t="s">
        <v>15</v>
      </c>
      <c r="D10" s="47" t="s">
        <v>1</v>
      </c>
      <c r="E10" s="47" t="str">
        <f t="shared" ref="E10" si="2">F10</f>
        <v>No Diggity</v>
      </c>
      <c r="F10" s="47" t="s">
        <v>151</v>
      </c>
      <c r="G10" s="47" t="s">
        <v>3</v>
      </c>
      <c r="H10" s="47" t="s">
        <v>152</v>
      </c>
      <c r="I10" s="47" t="str">
        <f>F11</f>
        <v>Family</v>
      </c>
      <c r="J10" s="47"/>
    </row>
    <row r="11" spans="1:10" ht="19.2" customHeight="1" x14ac:dyDescent="0.25">
      <c r="A11" s="47" t="str">
        <f>A10</f>
        <v>Round 3</v>
      </c>
      <c r="B11" s="48">
        <f>B10</f>
        <v>45882</v>
      </c>
      <c r="C11" s="49" t="s">
        <v>16</v>
      </c>
      <c r="D11" s="47" t="s">
        <v>1</v>
      </c>
      <c r="E11" s="47"/>
      <c r="F11" s="47" t="s">
        <v>115</v>
      </c>
      <c r="G11" s="47" t="s">
        <v>3</v>
      </c>
      <c r="H11" s="47" t="s">
        <v>181</v>
      </c>
      <c r="I11" s="47" t="str">
        <f>H10</f>
        <v>Ball Slappers</v>
      </c>
      <c r="J11" s="47"/>
    </row>
    <row r="12" spans="1:10" ht="19.2" customHeight="1" x14ac:dyDescent="0.25">
      <c r="A12" s="47" t="str">
        <f t="shared" ref="A12:A13" si="3">A11</f>
        <v>Round 3</v>
      </c>
      <c r="B12" s="48">
        <f>B11</f>
        <v>45882</v>
      </c>
      <c r="C12" s="49" t="s">
        <v>17</v>
      </c>
      <c r="D12" s="47" t="s">
        <v>1</v>
      </c>
      <c r="E12" s="47"/>
      <c r="F12" s="47" t="s">
        <v>146</v>
      </c>
      <c r="G12" s="47" t="s">
        <v>3</v>
      </c>
      <c r="H12" s="47" t="s">
        <v>145</v>
      </c>
      <c r="I12" s="47" t="str">
        <f>H11</f>
        <v>Bull Spikers</v>
      </c>
      <c r="J12" s="47" t="str">
        <f t="shared" ref="J12" si="4">H12</f>
        <v>Fitzroy Ferals</v>
      </c>
    </row>
    <row r="13" spans="1:10" ht="19.2" customHeight="1" x14ac:dyDescent="0.25">
      <c r="A13" s="47" t="str">
        <f t="shared" si="3"/>
        <v>Round 3</v>
      </c>
      <c r="B13" s="48">
        <f>B12</f>
        <v>45882</v>
      </c>
      <c r="C13" s="49" t="s">
        <v>102</v>
      </c>
      <c r="D13" s="47"/>
      <c r="E13" s="47"/>
      <c r="F13" s="47" t="s">
        <v>182</v>
      </c>
      <c r="G13" s="47"/>
      <c r="H13" s="47"/>
      <c r="I13" s="47"/>
      <c r="J13" s="47"/>
    </row>
    <row r="14" spans="1:10" ht="19.2" customHeight="1" x14ac:dyDescent="0.25">
      <c r="A14" s="108" t="s">
        <v>20</v>
      </c>
      <c r="B14" s="109">
        <f>B10+7</f>
        <v>45889</v>
      </c>
      <c r="C14" s="50" t="s">
        <v>15</v>
      </c>
      <c r="D14" s="108" t="s">
        <v>1</v>
      </c>
      <c r="E14" s="108" t="str">
        <f t="shared" ref="E14" si="5">F14</f>
        <v>Family</v>
      </c>
      <c r="F14" s="108" t="s">
        <v>115</v>
      </c>
      <c r="G14" s="108" t="s">
        <v>3</v>
      </c>
      <c r="H14" s="108" t="s">
        <v>182</v>
      </c>
      <c r="I14" s="108" t="str">
        <f>F15</f>
        <v>Ball Slappers</v>
      </c>
      <c r="J14" s="108"/>
    </row>
    <row r="15" spans="1:10" ht="19.2" customHeight="1" x14ac:dyDescent="0.25">
      <c r="A15" s="108" t="str">
        <f>A14</f>
        <v>Round 4</v>
      </c>
      <c r="B15" s="109">
        <f>B14</f>
        <v>45889</v>
      </c>
      <c r="C15" s="50" t="s">
        <v>16</v>
      </c>
      <c r="D15" s="108" t="s">
        <v>1</v>
      </c>
      <c r="E15" s="108"/>
      <c r="F15" s="108" t="s">
        <v>152</v>
      </c>
      <c r="G15" s="108" t="s">
        <v>3</v>
      </c>
      <c r="H15" s="108" t="s">
        <v>145</v>
      </c>
      <c r="I15" s="108" t="str">
        <f>H14</f>
        <v>Diggin It</v>
      </c>
      <c r="J15" s="108"/>
    </row>
    <row r="16" spans="1:10" s="51" customFormat="1" ht="19.2" customHeight="1" x14ac:dyDescent="0.25">
      <c r="A16" s="108" t="str">
        <f t="shared" ref="A16:A17" si="6">A15</f>
        <v>Round 4</v>
      </c>
      <c r="B16" s="109">
        <f>B15</f>
        <v>45889</v>
      </c>
      <c r="C16" s="50" t="s">
        <v>17</v>
      </c>
      <c r="D16" s="108" t="s">
        <v>1</v>
      </c>
      <c r="E16" s="108"/>
      <c r="F16" s="108" t="s">
        <v>181</v>
      </c>
      <c r="G16" s="108" t="s">
        <v>3</v>
      </c>
      <c r="H16" s="108" t="s">
        <v>146</v>
      </c>
      <c r="I16" s="108" t="str">
        <f>H15</f>
        <v>Fitzroy Ferals</v>
      </c>
      <c r="J16" s="108" t="str">
        <f t="shared" ref="J16" si="7">H16</f>
        <v>Fitzroy Freaks</v>
      </c>
    </row>
    <row r="17" spans="1:10" s="51" customFormat="1" ht="19.2" customHeight="1" x14ac:dyDescent="0.25">
      <c r="A17" s="108" t="str">
        <f t="shared" si="6"/>
        <v>Round 4</v>
      </c>
      <c r="B17" s="109">
        <f>B14</f>
        <v>45889</v>
      </c>
      <c r="C17" s="50" t="s">
        <v>102</v>
      </c>
      <c r="D17" s="108"/>
      <c r="E17" s="108"/>
      <c r="F17" s="108" t="s">
        <v>151</v>
      </c>
      <c r="G17" s="108"/>
      <c r="H17" s="108"/>
      <c r="I17" s="108"/>
      <c r="J17" s="108"/>
    </row>
    <row r="18" spans="1:10" s="51" customFormat="1" ht="19.2" customHeight="1" x14ac:dyDescent="0.25">
      <c r="A18" s="47" t="s">
        <v>21</v>
      </c>
      <c r="B18" s="48">
        <f>B14+7</f>
        <v>45896</v>
      </c>
      <c r="C18" s="49" t="s">
        <v>15</v>
      </c>
      <c r="D18" s="47" t="s">
        <v>1</v>
      </c>
      <c r="E18" s="47" t="str">
        <f t="shared" ref="E18" si="8">F18</f>
        <v>Fitzroy Ferals</v>
      </c>
      <c r="F18" s="47" t="s">
        <v>145</v>
      </c>
      <c r="G18" s="47" t="s">
        <v>3</v>
      </c>
      <c r="H18" s="47" t="s">
        <v>151</v>
      </c>
      <c r="I18" s="47" t="str">
        <f>F19</f>
        <v>Diggin It</v>
      </c>
      <c r="J18" s="47"/>
    </row>
    <row r="19" spans="1:10" s="51" customFormat="1" ht="19.2" customHeight="1" x14ac:dyDescent="0.25">
      <c r="A19" s="47" t="str">
        <f>A18</f>
        <v>Round 5</v>
      </c>
      <c r="B19" s="48">
        <f>B18</f>
        <v>45896</v>
      </c>
      <c r="C19" s="49" t="s">
        <v>16</v>
      </c>
      <c r="D19" s="47" t="s">
        <v>1</v>
      </c>
      <c r="E19" s="47"/>
      <c r="F19" s="47" t="s">
        <v>182</v>
      </c>
      <c r="G19" s="47" t="s">
        <v>3</v>
      </c>
      <c r="H19" s="47" t="s">
        <v>146</v>
      </c>
      <c r="I19" s="47" t="str">
        <f>H18</f>
        <v>No Diggity</v>
      </c>
      <c r="J19" s="47"/>
    </row>
    <row r="20" spans="1:10" s="51" customFormat="1" ht="19.2" customHeight="1" x14ac:dyDescent="0.25">
      <c r="A20" s="47" t="str">
        <f t="shared" ref="A20:A21" si="9">A19</f>
        <v>Round 5</v>
      </c>
      <c r="B20" s="48">
        <f>B19</f>
        <v>45896</v>
      </c>
      <c r="C20" s="49" t="s">
        <v>17</v>
      </c>
      <c r="D20" s="47" t="s">
        <v>1</v>
      </c>
      <c r="E20" s="47"/>
      <c r="F20" s="47" t="s">
        <v>181</v>
      </c>
      <c r="G20" s="47" t="s">
        <v>3</v>
      </c>
      <c r="H20" s="47" t="s">
        <v>152</v>
      </c>
      <c r="I20" s="47" t="str">
        <f>H19</f>
        <v>Fitzroy Freaks</v>
      </c>
      <c r="J20" s="47" t="str">
        <f t="shared" ref="J20" si="10">H20</f>
        <v>Ball Slappers</v>
      </c>
    </row>
    <row r="21" spans="1:10" s="51" customFormat="1" ht="19.2" customHeight="1" x14ac:dyDescent="0.25">
      <c r="A21" s="47" t="str">
        <f t="shared" si="9"/>
        <v>Round 5</v>
      </c>
      <c r="B21" s="48">
        <f>B20</f>
        <v>45896</v>
      </c>
      <c r="C21" s="49" t="s">
        <v>102</v>
      </c>
      <c r="D21" s="47"/>
      <c r="E21" s="47"/>
      <c r="F21" s="47" t="s">
        <v>115</v>
      </c>
      <c r="G21" s="47"/>
      <c r="H21" s="47"/>
      <c r="I21" s="47"/>
      <c r="J21" s="47"/>
    </row>
    <row r="22" spans="1:10" s="51" customFormat="1" ht="19.2" customHeight="1" x14ac:dyDescent="0.25">
      <c r="A22" s="108" t="s">
        <v>22</v>
      </c>
      <c r="B22" s="109">
        <f>B18+7</f>
        <v>45903</v>
      </c>
      <c r="C22" s="50" t="s">
        <v>15</v>
      </c>
      <c r="D22" s="108" t="s">
        <v>1</v>
      </c>
      <c r="E22" s="108" t="str">
        <f t="shared" ref="E22" si="11">F22</f>
        <v>Fitzroy Freaks</v>
      </c>
      <c r="F22" s="108" t="s">
        <v>146</v>
      </c>
      <c r="G22" s="108" t="s">
        <v>3</v>
      </c>
      <c r="H22" s="108" t="s">
        <v>115</v>
      </c>
      <c r="I22" s="108" t="str">
        <f>F23</f>
        <v>No Diggity</v>
      </c>
      <c r="J22" s="108"/>
    </row>
    <row r="23" spans="1:10" s="51" customFormat="1" ht="19.2" customHeight="1" x14ac:dyDescent="0.25">
      <c r="A23" s="108" t="str">
        <f>A22</f>
        <v>Round 6</v>
      </c>
      <c r="B23" s="109">
        <f>B22</f>
        <v>45903</v>
      </c>
      <c r="C23" s="50" t="s">
        <v>16</v>
      </c>
      <c r="D23" s="108" t="s">
        <v>1</v>
      </c>
      <c r="E23" s="108"/>
      <c r="F23" s="108" t="s">
        <v>151</v>
      </c>
      <c r="G23" s="108" t="s">
        <v>3</v>
      </c>
      <c r="H23" s="108" t="s">
        <v>181</v>
      </c>
      <c r="I23" s="108" t="str">
        <f>H22</f>
        <v>Family</v>
      </c>
      <c r="J23" s="108"/>
    </row>
    <row r="24" spans="1:10" s="51" customFormat="1" ht="19.2" customHeight="1" x14ac:dyDescent="0.25">
      <c r="A24" s="108" t="str">
        <f t="shared" ref="A24:A25" si="12">A23</f>
        <v>Round 6</v>
      </c>
      <c r="B24" s="109">
        <f>B23</f>
        <v>45903</v>
      </c>
      <c r="C24" s="50" t="s">
        <v>17</v>
      </c>
      <c r="D24" s="108" t="s">
        <v>1</v>
      </c>
      <c r="E24" s="108"/>
      <c r="F24" s="108" t="s">
        <v>152</v>
      </c>
      <c r="G24" s="108" t="s">
        <v>3</v>
      </c>
      <c r="H24" s="108" t="s">
        <v>182</v>
      </c>
      <c r="I24" s="108" t="str">
        <f>H23</f>
        <v>Bull Spikers</v>
      </c>
      <c r="J24" s="108" t="str">
        <f t="shared" ref="J24" si="13">H24</f>
        <v>Diggin It</v>
      </c>
    </row>
    <row r="25" spans="1:10" s="51" customFormat="1" ht="19.2" customHeight="1" x14ac:dyDescent="0.25">
      <c r="A25" s="108" t="str">
        <f t="shared" si="12"/>
        <v>Round 6</v>
      </c>
      <c r="B25" s="109">
        <f>B22</f>
        <v>45903</v>
      </c>
      <c r="C25" s="50" t="s">
        <v>102</v>
      </c>
      <c r="D25" s="108"/>
      <c r="E25" s="108"/>
      <c r="F25" s="108" t="s">
        <v>145</v>
      </c>
      <c r="G25" s="108"/>
      <c r="H25" s="108"/>
      <c r="I25" s="108"/>
      <c r="J25" s="108"/>
    </row>
    <row r="26" spans="1:10" ht="19.2" customHeight="1" x14ac:dyDescent="0.25">
      <c r="A26" s="43" t="s">
        <v>92</v>
      </c>
      <c r="B26" s="44" t="s">
        <v>6</v>
      </c>
      <c r="C26" s="45" t="s">
        <v>7</v>
      </c>
      <c r="D26" s="43" t="s">
        <v>8</v>
      </c>
      <c r="E26" s="43" t="s">
        <v>91</v>
      </c>
      <c r="F26" s="43" t="s">
        <v>10</v>
      </c>
      <c r="G26" s="43"/>
      <c r="H26" s="43" t="s">
        <v>11</v>
      </c>
      <c r="I26" s="43" t="s">
        <v>90</v>
      </c>
      <c r="J26" s="43" t="s">
        <v>99</v>
      </c>
    </row>
    <row r="27" spans="1:10" s="51" customFormat="1" ht="19.2" customHeight="1" x14ac:dyDescent="0.25">
      <c r="A27" s="47" t="s">
        <v>23</v>
      </c>
      <c r="B27" s="48">
        <f>B22+7</f>
        <v>45910</v>
      </c>
      <c r="C27" s="49" t="s">
        <v>15</v>
      </c>
      <c r="D27" s="47" t="s">
        <v>1</v>
      </c>
      <c r="E27" s="47" t="str">
        <f t="shared" ref="E27" si="14">F27</f>
        <v>Bull Spikers</v>
      </c>
      <c r="F27" s="47" t="s">
        <v>181</v>
      </c>
      <c r="G27" s="47" t="s">
        <v>3</v>
      </c>
      <c r="H27" s="47" t="s">
        <v>145</v>
      </c>
      <c r="I27" s="47" t="str">
        <f>F28</f>
        <v>Family</v>
      </c>
      <c r="J27" s="47"/>
    </row>
    <row r="28" spans="1:10" s="51" customFormat="1" ht="19.2" customHeight="1" x14ac:dyDescent="0.25">
      <c r="A28" s="47" t="str">
        <f>A27</f>
        <v>Round 7</v>
      </c>
      <c r="B28" s="48">
        <f>B27</f>
        <v>45910</v>
      </c>
      <c r="C28" s="49" t="s">
        <v>16</v>
      </c>
      <c r="D28" s="47" t="s">
        <v>1</v>
      </c>
      <c r="E28" s="47"/>
      <c r="F28" s="47" t="s">
        <v>115</v>
      </c>
      <c r="G28" s="47" t="s">
        <v>3</v>
      </c>
      <c r="H28" s="47" t="s">
        <v>152</v>
      </c>
      <c r="I28" s="47" t="str">
        <f>H27</f>
        <v>Fitzroy Ferals</v>
      </c>
      <c r="J28" s="47"/>
    </row>
    <row r="29" spans="1:10" s="51" customFormat="1" ht="19.2" customHeight="1" x14ac:dyDescent="0.25">
      <c r="A29" s="47" t="str">
        <f t="shared" ref="A29:A30" si="15">A28</f>
        <v>Round 7</v>
      </c>
      <c r="B29" s="48">
        <f>B28</f>
        <v>45910</v>
      </c>
      <c r="C29" s="49" t="s">
        <v>17</v>
      </c>
      <c r="D29" s="47" t="s">
        <v>1</v>
      </c>
      <c r="E29" s="47"/>
      <c r="F29" s="47" t="s">
        <v>182</v>
      </c>
      <c r="G29" s="47" t="s">
        <v>3</v>
      </c>
      <c r="H29" s="47" t="s">
        <v>151</v>
      </c>
      <c r="I29" s="47" t="str">
        <f>H28</f>
        <v>Ball Slappers</v>
      </c>
      <c r="J29" s="47" t="str">
        <f t="shared" ref="J29" si="16">H29</f>
        <v>No Diggity</v>
      </c>
    </row>
    <row r="30" spans="1:10" s="51" customFormat="1" ht="19.2" customHeight="1" x14ac:dyDescent="0.25">
      <c r="A30" s="47" t="str">
        <f t="shared" si="15"/>
        <v>Round 7</v>
      </c>
      <c r="B30" s="48">
        <f>B29</f>
        <v>45910</v>
      </c>
      <c r="C30" s="49" t="s">
        <v>102</v>
      </c>
      <c r="D30" s="47"/>
      <c r="E30" s="47"/>
      <c r="F30" s="47" t="s">
        <v>146</v>
      </c>
      <c r="G30" s="47"/>
      <c r="H30" s="47"/>
      <c r="I30" s="47"/>
      <c r="J30" s="47"/>
    </row>
    <row r="31" spans="1:10" s="51" customFormat="1" ht="19.2" customHeight="1" x14ac:dyDescent="0.25">
      <c r="A31" s="110" t="s">
        <v>24</v>
      </c>
      <c r="B31" s="109">
        <f>B27+7</f>
        <v>45917</v>
      </c>
      <c r="C31" s="50" t="s">
        <v>15</v>
      </c>
      <c r="D31" s="108" t="s">
        <v>1</v>
      </c>
      <c r="E31" s="108" t="str">
        <f t="shared" ref="E31" si="17">F31</f>
        <v>Ball Slappers</v>
      </c>
      <c r="F31" s="108" t="s">
        <v>152</v>
      </c>
      <c r="G31" s="108" t="s">
        <v>3</v>
      </c>
      <c r="H31" s="108" t="s">
        <v>146</v>
      </c>
      <c r="I31" s="108" t="str">
        <f>F32</f>
        <v>Diggin It</v>
      </c>
      <c r="J31" s="108"/>
    </row>
    <row r="32" spans="1:10" s="51" customFormat="1" ht="19.2" customHeight="1" x14ac:dyDescent="0.25">
      <c r="A32" s="108" t="str">
        <f>A31</f>
        <v>Round 8</v>
      </c>
      <c r="B32" s="109">
        <f>B31</f>
        <v>45917</v>
      </c>
      <c r="C32" s="50" t="s">
        <v>16</v>
      </c>
      <c r="D32" s="108" t="s">
        <v>1</v>
      </c>
      <c r="E32" s="108"/>
      <c r="F32" s="108" t="s">
        <v>182</v>
      </c>
      <c r="G32" s="108" t="s">
        <v>3</v>
      </c>
      <c r="H32" s="108" t="s">
        <v>145</v>
      </c>
      <c r="I32" s="108" t="str">
        <f>H31</f>
        <v>Fitzroy Freaks</v>
      </c>
      <c r="J32" s="108"/>
    </row>
    <row r="33" spans="1:10" s="51" customFormat="1" ht="19.2" customHeight="1" x14ac:dyDescent="0.25">
      <c r="A33" s="108" t="str">
        <f t="shared" ref="A33:A34" si="18">A32</f>
        <v>Round 8</v>
      </c>
      <c r="B33" s="109">
        <f>B32</f>
        <v>45917</v>
      </c>
      <c r="C33" s="50" t="s">
        <v>17</v>
      </c>
      <c r="D33" s="108" t="s">
        <v>1</v>
      </c>
      <c r="E33" s="108"/>
      <c r="F33" s="108" t="s">
        <v>151</v>
      </c>
      <c r="G33" s="108" t="s">
        <v>3</v>
      </c>
      <c r="H33" s="108" t="s">
        <v>115</v>
      </c>
      <c r="I33" s="108" t="str">
        <f>H32</f>
        <v>Fitzroy Ferals</v>
      </c>
      <c r="J33" s="108" t="str">
        <f t="shared" ref="J33" si="19">H33</f>
        <v>Family</v>
      </c>
    </row>
    <row r="34" spans="1:10" s="51" customFormat="1" ht="19.2" customHeight="1" x14ac:dyDescent="0.25">
      <c r="A34" s="108" t="str">
        <f t="shared" si="18"/>
        <v>Round 8</v>
      </c>
      <c r="B34" s="109">
        <f>B33</f>
        <v>45917</v>
      </c>
      <c r="C34" s="50" t="s">
        <v>102</v>
      </c>
      <c r="D34" s="108"/>
      <c r="E34" s="108"/>
      <c r="F34" s="108" t="s">
        <v>181</v>
      </c>
      <c r="G34" s="108"/>
      <c r="H34" s="108"/>
      <c r="I34" s="108"/>
      <c r="J34" s="108"/>
    </row>
    <row r="35" spans="1:10" s="51" customFormat="1" ht="19.2" customHeight="1" x14ac:dyDescent="0.25">
      <c r="A35" s="43"/>
      <c r="B35" s="44">
        <f>B34+7</f>
        <v>45924</v>
      </c>
      <c r="C35" s="45"/>
      <c r="D35" s="43"/>
      <c r="E35" s="43" t="s">
        <v>178</v>
      </c>
      <c r="F35" s="43"/>
      <c r="G35" s="43"/>
      <c r="H35" s="43"/>
      <c r="I35" s="43"/>
      <c r="J35" s="43"/>
    </row>
    <row r="36" spans="1:10" s="51" customFormat="1" ht="19.2" customHeight="1" x14ac:dyDescent="0.25">
      <c r="A36" s="43"/>
      <c r="B36" s="44">
        <f>B35+7</f>
        <v>45931</v>
      </c>
      <c r="C36" s="45"/>
      <c r="D36" s="43"/>
      <c r="E36" s="43" t="s">
        <v>178</v>
      </c>
      <c r="F36" s="43"/>
      <c r="G36" s="43"/>
      <c r="H36" s="43"/>
      <c r="I36" s="43"/>
      <c r="J36" s="43"/>
    </row>
    <row r="37" spans="1:10" s="51" customFormat="1" ht="19.2" customHeight="1" x14ac:dyDescent="0.25">
      <c r="A37" s="111" t="s">
        <v>26</v>
      </c>
      <c r="B37" s="112">
        <f>B36+7</f>
        <v>45938</v>
      </c>
      <c r="C37" s="113" t="s">
        <v>15</v>
      </c>
      <c r="D37" s="47" t="s">
        <v>1</v>
      </c>
      <c r="E37" s="111" t="str">
        <f t="shared" ref="E37" si="20">F37</f>
        <v>Diggin It</v>
      </c>
      <c r="F37" s="111" t="s">
        <v>182</v>
      </c>
      <c r="G37" s="111" t="s">
        <v>3</v>
      </c>
      <c r="H37" s="111" t="s">
        <v>181</v>
      </c>
      <c r="I37" s="111" t="str">
        <f>F38</f>
        <v>No Diggity</v>
      </c>
      <c r="J37" s="111"/>
    </row>
    <row r="38" spans="1:10" s="51" customFormat="1" ht="19.2" customHeight="1" x14ac:dyDescent="0.25">
      <c r="A38" s="111" t="str">
        <f>A37</f>
        <v>Round 9</v>
      </c>
      <c r="B38" s="112">
        <f>B37</f>
        <v>45938</v>
      </c>
      <c r="C38" s="113" t="s">
        <v>16</v>
      </c>
      <c r="D38" s="47" t="s">
        <v>1</v>
      </c>
      <c r="E38" s="111"/>
      <c r="F38" s="111" t="s">
        <v>151</v>
      </c>
      <c r="G38" s="111" t="s">
        <v>3</v>
      </c>
      <c r="H38" s="111" t="s">
        <v>146</v>
      </c>
      <c r="I38" s="111" t="str">
        <f>H37</f>
        <v>Bull Spikers</v>
      </c>
      <c r="J38" s="111"/>
    </row>
    <row r="39" spans="1:10" s="51" customFormat="1" ht="19.2" customHeight="1" x14ac:dyDescent="0.25">
      <c r="A39" s="111" t="str">
        <f t="shared" ref="A39:A40" si="21">A38</f>
        <v>Round 9</v>
      </c>
      <c r="B39" s="112">
        <f>B38</f>
        <v>45938</v>
      </c>
      <c r="C39" s="113" t="s">
        <v>17</v>
      </c>
      <c r="D39" s="47" t="s">
        <v>1</v>
      </c>
      <c r="E39" s="111"/>
      <c r="F39" s="111" t="s">
        <v>145</v>
      </c>
      <c r="G39" s="111" t="s">
        <v>3</v>
      </c>
      <c r="H39" s="111" t="s">
        <v>115</v>
      </c>
      <c r="I39" s="111" t="str">
        <f>H38</f>
        <v>Fitzroy Freaks</v>
      </c>
      <c r="J39" s="111" t="str">
        <f t="shared" ref="J39" si="22">H39</f>
        <v>Family</v>
      </c>
    </row>
    <row r="40" spans="1:10" s="51" customFormat="1" ht="19.2" customHeight="1" x14ac:dyDescent="0.25">
      <c r="A40" s="111" t="str">
        <f t="shared" si="21"/>
        <v>Round 9</v>
      </c>
      <c r="B40" s="112">
        <f>B37</f>
        <v>45938</v>
      </c>
      <c r="C40" s="113" t="s">
        <v>102</v>
      </c>
      <c r="D40" s="47"/>
      <c r="E40" s="111"/>
      <c r="F40" s="111" t="s">
        <v>152</v>
      </c>
      <c r="G40" s="111"/>
      <c r="H40" s="111"/>
      <c r="I40" s="111"/>
      <c r="J40" s="111"/>
    </row>
    <row r="41" spans="1:10" s="51" customFormat="1" ht="19.2" customHeight="1" x14ac:dyDescent="0.25">
      <c r="A41" s="108" t="s">
        <v>27</v>
      </c>
      <c r="B41" s="109">
        <f>B37+7</f>
        <v>45945</v>
      </c>
      <c r="C41" s="50" t="s">
        <v>15</v>
      </c>
      <c r="D41" s="108" t="s">
        <v>1</v>
      </c>
      <c r="E41" s="108" t="str">
        <f t="shared" ref="E41" si="23">F41</f>
        <v>No Diggity</v>
      </c>
      <c r="F41" s="108" t="s">
        <v>151</v>
      </c>
      <c r="G41" s="108" t="s">
        <v>3</v>
      </c>
      <c r="H41" s="108" t="s">
        <v>152</v>
      </c>
      <c r="I41" s="108" t="str">
        <f>F42</f>
        <v>Family</v>
      </c>
      <c r="J41" s="108"/>
    </row>
    <row r="42" spans="1:10" s="51" customFormat="1" ht="19.2" customHeight="1" x14ac:dyDescent="0.25">
      <c r="A42" s="108" t="str">
        <f>A41</f>
        <v>Round 10</v>
      </c>
      <c r="B42" s="109">
        <f>B41</f>
        <v>45945</v>
      </c>
      <c r="C42" s="50" t="s">
        <v>16</v>
      </c>
      <c r="D42" s="108" t="s">
        <v>1</v>
      </c>
      <c r="E42" s="108"/>
      <c r="F42" s="108" t="s">
        <v>115</v>
      </c>
      <c r="G42" s="108" t="s">
        <v>3</v>
      </c>
      <c r="H42" s="108" t="s">
        <v>181</v>
      </c>
      <c r="I42" s="108" t="str">
        <f>H41</f>
        <v>Ball Slappers</v>
      </c>
      <c r="J42" s="108"/>
    </row>
    <row r="43" spans="1:10" s="51" customFormat="1" ht="19.2" customHeight="1" x14ac:dyDescent="0.25">
      <c r="A43" s="108" t="str">
        <f t="shared" ref="A43:A44" si="24">A42</f>
        <v>Round 10</v>
      </c>
      <c r="B43" s="109">
        <f>B42</f>
        <v>45945</v>
      </c>
      <c r="C43" s="50" t="s">
        <v>17</v>
      </c>
      <c r="D43" s="108" t="s">
        <v>1</v>
      </c>
      <c r="E43" s="108"/>
      <c r="F43" s="108" t="s">
        <v>146</v>
      </c>
      <c r="G43" s="108" t="s">
        <v>3</v>
      </c>
      <c r="H43" s="108" t="s">
        <v>145</v>
      </c>
      <c r="I43" s="108" t="str">
        <f>H42</f>
        <v>Bull Spikers</v>
      </c>
      <c r="J43" s="108" t="str">
        <f t="shared" ref="J43" si="25">H43</f>
        <v>Fitzroy Ferals</v>
      </c>
    </row>
    <row r="44" spans="1:10" s="51" customFormat="1" ht="19.2" customHeight="1" x14ac:dyDescent="0.25">
      <c r="A44" s="108" t="str">
        <f t="shared" si="24"/>
        <v>Round 10</v>
      </c>
      <c r="B44" s="109">
        <f>B43</f>
        <v>45945</v>
      </c>
      <c r="C44" s="50" t="s">
        <v>102</v>
      </c>
      <c r="D44" s="108"/>
      <c r="E44" s="108"/>
      <c r="F44" s="108" t="s">
        <v>182</v>
      </c>
      <c r="G44" s="108"/>
      <c r="H44" s="108"/>
      <c r="I44" s="108"/>
      <c r="J44" s="108"/>
    </row>
    <row r="45" spans="1:10" s="51" customFormat="1" ht="19.2" customHeight="1" x14ac:dyDescent="0.25">
      <c r="A45" s="111" t="s">
        <v>28</v>
      </c>
      <c r="B45" s="112">
        <f>B41+7</f>
        <v>45952</v>
      </c>
      <c r="C45" s="113" t="s">
        <v>15</v>
      </c>
      <c r="D45" s="47" t="s">
        <v>1</v>
      </c>
      <c r="E45" s="111" t="str">
        <f t="shared" ref="E45" si="26">F45</f>
        <v>Family</v>
      </c>
      <c r="F45" s="111" t="s">
        <v>115</v>
      </c>
      <c r="G45" s="111" t="s">
        <v>3</v>
      </c>
      <c r="H45" s="111" t="s">
        <v>182</v>
      </c>
      <c r="I45" s="111" t="str">
        <f>F46</f>
        <v>Ball Slappers</v>
      </c>
      <c r="J45" s="111"/>
    </row>
    <row r="46" spans="1:10" s="51" customFormat="1" ht="19.2" customHeight="1" x14ac:dyDescent="0.25">
      <c r="A46" s="111" t="str">
        <f>A45</f>
        <v>Round 11</v>
      </c>
      <c r="B46" s="112">
        <f>B45</f>
        <v>45952</v>
      </c>
      <c r="C46" s="113" t="s">
        <v>16</v>
      </c>
      <c r="D46" s="47" t="s">
        <v>1</v>
      </c>
      <c r="E46" s="111"/>
      <c r="F46" s="111" t="s">
        <v>152</v>
      </c>
      <c r="G46" s="111" t="s">
        <v>3</v>
      </c>
      <c r="H46" s="111" t="s">
        <v>145</v>
      </c>
      <c r="I46" s="111" t="str">
        <f>H45</f>
        <v>Diggin It</v>
      </c>
      <c r="J46" s="111"/>
    </row>
    <row r="47" spans="1:10" s="51" customFormat="1" ht="19.2" customHeight="1" x14ac:dyDescent="0.25">
      <c r="A47" s="111" t="str">
        <f t="shared" ref="A47:A48" si="27">A46</f>
        <v>Round 11</v>
      </c>
      <c r="B47" s="112">
        <f>B46</f>
        <v>45952</v>
      </c>
      <c r="C47" s="113" t="s">
        <v>17</v>
      </c>
      <c r="D47" s="47" t="s">
        <v>1</v>
      </c>
      <c r="E47" s="111"/>
      <c r="F47" s="111" t="s">
        <v>181</v>
      </c>
      <c r="G47" s="111" t="s">
        <v>3</v>
      </c>
      <c r="H47" s="111" t="s">
        <v>146</v>
      </c>
      <c r="I47" s="111" t="str">
        <f>H46</f>
        <v>Fitzroy Ferals</v>
      </c>
      <c r="J47" s="111" t="str">
        <f t="shared" ref="J47" si="28">H47</f>
        <v>Fitzroy Freaks</v>
      </c>
    </row>
    <row r="48" spans="1:10" s="51" customFormat="1" ht="19.2" customHeight="1" x14ac:dyDescent="0.25">
      <c r="A48" s="111" t="str">
        <f t="shared" si="27"/>
        <v>Round 11</v>
      </c>
      <c r="B48" s="112">
        <f>B45</f>
        <v>45952</v>
      </c>
      <c r="C48" s="113" t="s">
        <v>102</v>
      </c>
      <c r="D48" s="47"/>
      <c r="E48" s="111"/>
      <c r="F48" s="111" t="s">
        <v>151</v>
      </c>
      <c r="G48" s="111"/>
      <c r="H48" s="111"/>
      <c r="I48" s="111"/>
      <c r="J48" s="111"/>
    </row>
    <row r="51" spans="1:10" ht="19.2" customHeight="1" x14ac:dyDescent="0.25">
      <c r="A51" s="43" t="s">
        <v>92</v>
      </c>
      <c r="B51" s="44" t="s">
        <v>6</v>
      </c>
      <c r="C51" s="45" t="s">
        <v>7</v>
      </c>
      <c r="D51" s="43" t="s">
        <v>8</v>
      </c>
      <c r="E51" s="43" t="s">
        <v>91</v>
      </c>
      <c r="F51" s="43" t="s">
        <v>10</v>
      </c>
      <c r="G51" s="43"/>
      <c r="H51" s="43" t="s">
        <v>11</v>
      </c>
      <c r="I51" s="43" t="s">
        <v>90</v>
      </c>
      <c r="J51" s="43" t="s">
        <v>99</v>
      </c>
    </row>
    <row r="52" spans="1:10" s="51" customFormat="1" ht="19.2" customHeight="1" x14ac:dyDescent="0.25">
      <c r="A52" s="111" t="s">
        <v>29</v>
      </c>
      <c r="B52" s="112">
        <f>B45+7</f>
        <v>45959</v>
      </c>
      <c r="C52" s="113" t="s">
        <v>15</v>
      </c>
      <c r="D52" s="47" t="s">
        <v>1</v>
      </c>
      <c r="E52" s="111" t="str">
        <f t="shared" ref="E52" si="29">F52</f>
        <v>Fitzroy Ferals</v>
      </c>
      <c r="F52" s="111" t="s">
        <v>145</v>
      </c>
      <c r="G52" s="111" t="s">
        <v>3</v>
      </c>
      <c r="H52" s="111" t="s">
        <v>151</v>
      </c>
      <c r="I52" s="111" t="str">
        <f>F53</f>
        <v>Diggin It</v>
      </c>
      <c r="J52" s="111"/>
    </row>
    <row r="53" spans="1:10" s="51" customFormat="1" ht="19.2" customHeight="1" x14ac:dyDescent="0.25">
      <c r="A53" s="111" t="str">
        <f>A52</f>
        <v>Round 12</v>
      </c>
      <c r="B53" s="112">
        <f>B52</f>
        <v>45959</v>
      </c>
      <c r="C53" s="113" t="s">
        <v>16</v>
      </c>
      <c r="D53" s="47" t="s">
        <v>1</v>
      </c>
      <c r="E53" s="111"/>
      <c r="F53" s="111" t="s">
        <v>182</v>
      </c>
      <c r="G53" s="111" t="s">
        <v>3</v>
      </c>
      <c r="H53" s="111" t="s">
        <v>146</v>
      </c>
      <c r="I53" s="111" t="str">
        <f>H52</f>
        <v>No Diggity</v>
      </c>
      <c r="J53" s="111"/>
    </row>
    <row r="54" spans="1:10" s="51" customFormat="1" ht="19.2" customHeight="1" x14ac:dyDescent="0.25">
      <c r="A54" s="111" t="str">
        <f t="shared" ref="A54:A55" si="30">A53</f>
        <v>Round 12</v>
      </c>
      <c r="B54" s="112">
        <f>B53</f>
        <v>45959</v>
      </c>
      <c r="C54" s="113" t="s">
        <v>17</v>
      </c>
      <c r="D54" s="47" t="s">
        <v>1</v>
      </c>
      <c r="E54" s="111"/>
      <c r="F54" s="111" t="s">
        <v>152</v>
      </c>
      <c r="G54" s="111" t="s">
        <v>3</v>
      </c>
      <c r="H54" s="111" t="s">
        <v>181</v>
      </c>
      <c r="I54" s="111" t="str">
        <f>H53</f>
        <v>Fitzroy Freaks</v>
      </c>
      <c r="J54" s="111" t="str">
        <f t="shared" ref="J54" si="31">H54</f>
        <v>Bull Spikers</v>
      </c>
    </row>
    <row r="55" spans="1:10" s="51" customFormat="1" ht="19.2" customHeight="1" x14ac:dyDescent="0.25">
      <c r="A55" s="111" t="str">
        <f t="shared" si="30"/>
        <v>Round 12</v>
      </c>
      <c r="B55" s="112">
        <f>B54</f>
        <v>45959</v>
      </c>
      <c r="C55" s="113" t="s">
        <v>102</v>
      </c>
      <c r="D55" s="47"/>
      <c r="E55" s="111"/>
      <c r="F55" s="111" t="s">
        <v>115</v>
      </c>
      <c r="G55" s="111"/>
      <c r="H55" s="111"/>
      <c r="I55" s="111"/>
      <c r="J55" s="111"/>
    </row>
    <row r="56" spans="1:10" s="51" customFormat="1" ht="19.2" customHeight="1" x14ac:dyDescent="0.25">
      <c r="A56" s="108" t="s">
        <v>30</v>
      </c>
      <c r="B56" s="109">
        <f>B52+7</f>
        <v>45966</v>
      </c>
      <c r="C56" s="50" t="s">
        <v>15</v>
      </c>
      <c r="D56" s="108" t="s">
        <v>1</v>
      </c>
      <c r="E56" s="108" t="str">
        <f t="shared" ref="E56" si="32">F56</f>
        <v>Fitzroy Freaks</v>
      </c>
      <c r="F56" s="108" t="s">
        <v>146</v>
      </c>
      <c r="G56" s="108" t="s">
        <v>3</v>
      </c>
      <c r="H56" s="108" t="s">
        <v>115</v>
      </c>
      <c r="I56" s="108" t="str">
        <f>F57</f>
        <v>No Diggity</v>
      </c>
      <c r="J56" s="108"/>
    </row>
    <row r="57" spans="1:10" s="51" customFormat="1" ht="19.2" customHeight="1" x14ac:dyDescent="0.25">
      <c r="A57" s="108" t="str">
        <f>A56</f>
        <v>Round 13</v>
      </c>
      <c r="B57" s="109">
        <f>B56</f>
        <v>45966</v>
      </c>
      <c r="C57" s="50" t="s">
        <v>16</v>
      </c>
      <c r="D57" s="108" t="s">
        <v>1</v>
      </c>
      <c r="E57" s="108"/>
      <c r="F57" s="108" t="s">
        <v>151</v>
      </c>
      <c r="G57" s="108" t="s">
        <v>3</v>
      </c>
      <c r="H57" s="108" t="s">
        <v>181</v>
      </c>
      <c r="I57" s="108" t="str">
        <f>H56</f>
        <v>Family</v>
      </c>
      <c r="J57" s="108"/>
    </row>
    <row r="58" spans="1:10" s="51" customFormat="1" ht="19.2" customHeight="1" x14ac:dyDescent="0.25">
      <c r="A58" s="108" t="str">
        <f t="shared" ref="A58:A59" si="33">A57</f>
        <v>Round 13</v>
      </c>
      <c r="B58" s="109">
        <f>B57</f>
        <v>45966</v>
      </c>
      <c r="C58" s="50" t="s">
        <v>17</v>
      </c>
      <c r="D58" s="108" t="s">
        <v>1</v>
      </c>
      <c r="E58" s="108"/>
      <c r="F58" s="108" t="s">
        <v>182</v>
      </c>
      <c r="G58" s="108" t="s">
        <v>3</v>
      </c>
      <c r="H58" s="108" t="s">
        <v>152</v>
      </c>
      <c r="I58" s="108" t="str">
        <f>H57</f>
        <v>Bull Spikers</v>
      </c>
      <c r="J58" s="108" t="str">
        <f t="shared" ref="J58" si="34">H58</f>
        <v>Ball Slappers</v>
      </c>
    </row>
    <row r="59" spans="1:10" s="51" customFormat="1" ht="19.2" customHeight="1" x14ac:dyDescent="0.25">
      <c r="A59" s="108" t="str">
        <f t="shared" si="33"/>
        <v>Round 13</v>
      </c>
      <c r="B59" s="109">
        <f>B56</f>
        <v>45966</v>
      </c>
      <c r="C59" s="50" t="s">
        <v>102</v>
      </c>
      <c r="D59" s="108"/>
      <c r="E59" s="108"/>
      <c r="F59" s="108" t="s">
        <v>145</v>
      </c>
      <c r="G59" s="108"/>
      <c r="H59" s="108"/>
      <c r="I59" s="108"/>
      <c r="J59" s="108"/>
    </row>
    <row r="60" spans="1:10" s="51" customFormat="1" ht="19.2" customHeight="1" x14ac:dyDescent="0.25">
      <c r="A60" s="111" t="s">
        <v>31</v>
      </c>
      <c r="B60" s="112">
        <f>B56+7</f>
        <v>45973</v>
      </c>
      <c r="C60" s="113" t="s">
        <v>15</v>
      </c>
      <c r="D60" s="47" t="s">
        <v>1</v>
      </c>
      <c r="E60" s="111" t="str">
        <f t="shared" ref="E60" si="35">F60</f>
        <v>Bull Spikers</v>
      </c>
      <c r="F60" s="111" t="s">
        <v>181</v>
      </c>
      <c r="G60" s="111" t="s">
        <v>3</v>
      </c>
      <c r="H60" s="111" t="s">
        <v>145</v>
      </c>
      <c r="I60" s="111" t="str">
        <f>F61</f>
        <v>Family</v>
      </c>
      <c r="J60" s="111"/>
    </row>
    <row r="61" spans="1:10" s="51" customFormat="1" ht="19.2" customHeight="1" x14ac:dyDescent="0.25">
      <c r="A61" s="111" t="str">
        <f>A60</f>
        <v>Round 14</v>
      </c>
      <c r="B61" s="112">
        <f>B60</f>
        <v>45973</v>
      </c>
      <c r="C61" s="113" t="s">
        <v>16</v>
      </c>
      <c r="D61" s="47" t="s">
        <v>1</v>
      </c>
      <c r="E61" s="111"/>
      <c r="F61" s="111" t="s">
        <v>115</v>
      </c>
      <c r="G61" s="111" t="s">
        <v>3</v>
      </c>
      <c r="H61" s="111" t="s">
        <v>152</v>
      </c>
      <c r="I61" s="111" t="str">
        <f>H60</f>
        <v>Fitzroy Ferals</v>
      </c>
      <c r="J61" s="111"/>
    </row>
    <row r="62" spans="1:10" s="51" customFormat="1" ht="19.2" customHeight="1" x14ac:dyDescent="0.25">
      <c r="A62" s="111" t="str">
        <f t="shared" ref="A62:A63" si="36">A61</f>
        <v>Round 14</v>
      </c>
      <c r="B62" s="112">
        <f>B61</f>
        <v>45973</v>
      </c>
      <c r="C62" s="113" t="s">
        <v>17</v>
      </c>
      <c r="D62" s="47" t="s">
        <v>1</v>
      </c>
      <c r="E62" s="111"/>
      <c r="F62" s="111" t="s">
        <v>151</v>
      </c>
      <c r="G62" s="111" t="s">
        <v>3</v>
      </c>
      <c r="H62" s="111" t="s">
        <v>182</v>
      </c>
      <c r="I62" s="111" t="str">
        <f>H61</f>
        <v>Ball Slappers</v>
      </c>
      <c r="J62" s="111" t="str">
        <f t="shared" ref="J62" si="37">H62</f>
        <v>Diggin It</v>
      </c>
    </row>
    <row r="63" spans="1:10" ht="19.2" customHeight="1" x14ac:dyDescent="0.25">
      <c r="A63" s="111" t="str">
        <f t="shared" si="36"/>
        <v>Round 14</v>
      </c>
      <c r="B63" s="112">
        <f>B62</f>
        <v>45973</v>
      </c>
      <c r="C63" s="113" t="s">
        <v>102</v>
      </c>
      <c r="D63" s="47"/>
      <c r="E63" s="111"/>
      <c r="F63" s="111" t="s">
        <v>146</v>
      </c>
      <c r="G63" s="111"/>
      <c r="H63" s="111"/>
      <c r="I63" s="111"/>
      <c r="J63" s="111"/>
    </row>
    <row r="64" spans="1:10" ht="19.2" customHeight="1" x14ac:dyDescent="0.25">
      <c r="A64" s="123" t="s">
        <v>103</v>
      </c>
      <c r="B64" s="44">
        <f>B60+7</f>
        <v>45980</v>
      </c>
      <c r="C64" s="45" t="s">
        <v>15</v>
      </c>
      <c r="D64" s="43" t="s">
        <v>1</v>
      </c>
      <c r="E64" s="43" t="str">
        <f>F64</f>
        <v>No Diggity</v>
      </c>
      <c r="F64" s="43" t="s">
        <v>151</v>
      </c>
      <c r="G64" s="43" t="s">
        <v>3</v>
      </c>
      <c r="H64" s="43" t="s">
        <v>182</v>
      </c>
      <c r="I64" s="43" t="str">
        <f>F65</f>
        <v>Fiztroy Freaks</v>
      </c>
      <c r="J64" s="43"/>
    </row>
    <row r="65" spans="1:10" ht="19.2" customHeight="1" x14ac:dyDescent="0.25">
      <c r="A65" s="123" t="str">
        <f>A64</f>
        <v>Prelim Final</v>
      </c>
      <c r="B65" s="44">
        <f>B64</f>
        <v>45980</v>
      </c>
      <c r="C65" s="45" t="s">
        <v>16</v>
      </c>
      <c r="D65" s="43" t="s">
        <v>1</v>
      </c>
      <c r="E65" s="43"/>
      <c r="F65" s="43" t="s">
        <v>299</v>
      </c>
      <c r="G65" s="43" t="s">
        <v>3</v>
      </c>
      <c r="H65" s="43" t="s">
        <v>145</v>
      </c>
      <c r="I65" s="43" t="str">
        <f>H64</f>
        <v>Diggin It</v>
      </c>
      <c r="J65" s="43" t="str">
        <f>H65</f>
        <v>Fitzroy Ferals</v>
      </c>
    </row>
    <row r="66" spans="1:10" ht="19.2" customHeight="1" x14ac:dyDescent="0.25">
      <c r="A66" s="43" t="s">
        <v>104</v>
      </c>
      <c r="B66" s="44">
        <f>B65+7</f>
        <v>45987</v>
      </c>
      <c r="C66" s="45" t="s">
        <v>15</v>
      </c>
      <c r="D66" s="43" t="s">
        <v>1</v>
      </c>
      <c r="E66" s="43" t="str">
        <f>F66</f>
        <v>Diggin It</v>
      </c>
      <c r="F66" s="43" t="s">
        <v>182</v>
      </c>
      <c r="G66" s="43" t="s">
        <v>3</v>
      </c>
      <c r="H66" s="43" t="s">
        <v>145</v>
      </c>
      <c r="I66" s="43" t="str">
        <f>F67</f>
        <v>No Diggity</v>
      </c>
      <c r="J66" s="43" t="str">
        <f>H66</f>
        <v>Fitzroy Ferals</v>
      </c>
    </row>
    <row r="67" spans="1:10" ht="19.2" customHeight="1" x14ac:dyDescent="0.25">
      <c r="A67" s="43" t="s">
        <v>105</v>
      </c>
      <c r="B67" s="44">
        <f>B66+7</f>
        <v>45994</v>
      </c>
      <c r="C67" s="45" t="s">
        <v>16</v>
      </c>
      <c r="D67" s="43" t="s">
        <v>1</v>
      </c>
      <c r="E67" s="43" t="str">
        <f>F67</f>
        <v>No Diggity</v>
      </c>
      <c r="F67" s="43" t="s">
        <v>151</v>
      </c>
      <c r="G67" s="43" t="s">
        <v>3</v>
      </c>
      <c r="H67" s="43" t="s">
        <v>145</v>
      </c>
      <c r="I67" s="43" t="s">
        <v>221</v>
      </c>
      <c r="J67" s="43" t="str">
        <f>H67</f>
        <v>Fitzroy Ferals</v>
      </c>
    </row>
    <row r="76" spans="1:10" ht="19.2" customHeight="1" x14ac:dyDescent="0.25">
      <c r="A76" s="117" t="s">
        <v>89</v>
      </c>
      <c r="B76" s="117" t="s">
        <v>66</v>
      </c>
      <c r="C76" s="144" t="s">
        <v>134</v>
      </c>
      <c r="D76" s="144"/>
      <c r="E76" s="52" t="s">
        <v>63</v>
      </c>
      <c r="F76" s="52" t="s">
        <v>10</v>
      </c>
      <c r="H76" s="52" t="s">
        <v>11</v>
      </c>
      <c r="I76" s="52" t="s">
        <v>64</v>
      </c>
      <c r="J76" s="52" t="s">
        <v>65</v>
      </c>
    </row>
    <row r="77" spans="1:10" ht="19.2" customHeight="1" x14ac:dyDescent="0.25">
      <c r="A77" s="52">
        <f>F77+H77</f>
        <v>14</v>
      </c>
      <c r="B77" s="52">
        <f>E77+I77+J77</f>
        <v>10</v>
      </c>
      <c r="C77" s="144" t="s">
        <v>152</v>
      </c>
      <c r="D77" s="144"/>
      <c r="E77" s="52">
        <f t="shared" ref="E77:F83" si="38">COUNTIF(E$1:E$63,$C77)</f>
        <v>2</v>
      </c>
      <c r="F77" s="52">
        <f t="shared" si="38"/>
        <v>8</v>
      </c>
      <c r="H77" s="52">
        <f t="shared" ref="H77:J83" si="39">COUNTIF(H$1:H$63,$C77)</f>
        <v>6</v>
      </c>
      <c r="I77" s="52">
        <f t="shared" si="39"/>
        <v>6</v>
      </c>
      <c r="J77" s="52">
        <f t="shared" si="39"/>
        <v>2</v>
      </c>
    </row>
    <row r="78" spans="1:10" ht="19.2" customHeight="1" x14ac:dyDescent="0.25">
      <c r="A78" s="52">
        <f t="shared" ref="A78:A83" si="40">F78+H78</f>
        <v>14</v>
      </c>
      <c r="B78" s="52">
        <f t="shared" ref="B78:B83" si="41">E78+I78+J78</f>
        <v>9</v>
      </c>
      <c r="C78" s="144" t="s">
        <v>181</v>
      </c>
      <c r="D78" s="144"/>
      <c r="E78" s="52">
        <f t="shared" si="38"/>
        <v>2</v>
      </c>
      <c r="F78" s="52">
        <f t="shared" si="38"/>
        <v>7</v>
      </c>
      <c r="H78" s="52">
        <f t="shared" si="39"/>
        <v>7</v>
      </c>
      <c r="I78" s="52">
        <f t="shared" si="39"/>
        <v>6</v>
      </c>
      <c r="J78" s="52">
        <f t="shared" si="39"/>
        <v>1</v>
      </c>
    </row>
    <row r="79" spans="1:10" ht="19.2" customHeight="1" x14ac:dyDescent="0.25">
      <c r="A79" s="52">
        <f t="shared" si="40"/>
        <v>14</v>
      </c>
      <c r="B79" s="52">
        <f t="shared" si="41"/>
        <v>10</v>
      </c>
      <c r="C79" s="144" t="s">
        <v>182</v>
      </c>
      <c r="D79" s="144"/>
      <c r="E79" s="52">
        <f t="shared" si="38"/>
        <v>2</v>
      </c>
      <c r="F79" s="52">
        <f t="shared" si="38"/>
        <v>10</v>
      </c>
      <c r="H79" s="52">
        <f t="shared" si="39"/>
        <v>4</v>
      </c>
      <c r="I79" s="52">
        <f t="shared" si="39"/>
        <v>6</v>
      </c>
      <c r="J79" s="52">
        <f t="shared" si="39"/>
        <v>2</v>
      </c>
    </row>
    <row r="80" spans="1:10" ht="19.2" customHeight="1" x14ac:dyDescent="0.25">
      <c r="A80" s="52">
        <f t="shared" si="40"/>
        <v>14</v>
      </c>
      <c r="B80" s="52">
        <f t="shared" si="41"/>
        <v>10</v>
      </c>
      <c r="C80" s="144" t="s">
        <v>115</v>
      </c>
      <c r="D80" s="144"/>
      <c r="E80" s="52">
        <f t="shared" si="38"/>
        <v>2</v>
      </c>
      <c r="F80" s="52">
        <f t="shared" si="38"/>
        <v>10</v>
      </c>
      <c r="H80" s="52">
        <f t="shared" si="39"/>
        <v>4</v>
      </c>
      <c r="I80" s="52">
        <f t="shared" si="39"/>
        <v>6</v>
      </c>
      <c r="J80" s="52">
        <f t="shared" si="39"/>
        <v>2</v>
      </c>
    </row>
    <row r="81" spans="1:10" ht="19.2" customHeight="1" x14ac:dyDescent="0.25">
      <c r="A81" s="52">
        <f t="shared" si="40"/>
        <v>14</v>
      </c>
      <c r="B81" s="52">
        <f t="shared" si="41"/>
        <v>11</v>
      </c>
      <c r="C81" s="144" t="s">
        <v>145</v>
      </c>
      <c r="D81" s="144"/>
      <c r="E81" s="52">
        <f t="shared" si="38"/>
        <v>2</v>
      </c>
      <c r="F81" s="52">
        <f t="shared" si="38"/>
        <v>5</v>
      </c>
      <c r="H81" s="52">
        <f t="shared" si="39"/>
        <v>9</v>
      </c>
      <c r="I81" s="52">
        <f t="shared" si="39"/>
        <v>6</v>
      </c>
      <c r="J81" s="52">
        <f t="shared" si="39"/>
        <v>3</v>
      </c>
    </row>
    <row r="82" spans="1:10" ht="19.2" customHeight="1" x14ac:dyDescent="0.25">
      <c r="A82" s="52">
        <f t="shared" si="40"/>
        <v>14</v>
      </c>
      <c r="B82" s="52">
        <f t="shared" si="41"/>
        <v>10</v>
      </c>
      <c r="C82" s="144" t="s">
        <v>146</v>
      </c>
      <c r="D82" s="144"/>
      <c r="E82" s="52">
        <f t="shared" si="38"/>
        <v>2</v>
      </c>
      <c r="F82" s="52">
        <f t="shared" si="38"/>
        <v>6</v>
      </c>
      <c r="H82" s="52">
        <f t="shared" si="39"/>
        <v>8</v>
      </c>
      <c r="I82" s="52">
        <f t="shared" si="39"/>
        <v>6</v>
      </c>
      <c r="J82" s="52">
        <f t="shared" si="39"/>
        <v>2</v>
      </c>
    </row>
    <row r="83" spans="1:10" ht="19.2" customHeight="1" x14ac:dyDescent="0.25">
      <c r="A83" s="52">
        <f t="shared" si="40"/>
        <v>14</v>
      </c>
      <c r="B83" s="52">
        <f t="shared" si="41"/>
        <v>10</v>
      </c>
      <c r="C83" s="144" t="s">
        <v>151</v>
      </c>
      <c r="D83" s="144"/>
      <c r="E83" s="52">
        <f t="shared" si="38"/>
        <v>2</v>
      </c>
      <c r="F83" s="52">
        <f t="shared" si="38"/>
        <v>10</v>
      </c>
      <c r="H83" s="52">
        <f t="shared" si="39"/>
        <v>4</v>
      </c>
      <c r="I83" s="52">
        <f t="shared" si="39"/>
        <v>6</v>
      </c>
      <c r="J83" s="52">
        <f t="shared" si="39"/>
        <v>2</v>
      </c>
    </row>
  </sheetData>
  <sortState xmlns:xlrd2="http://schemas.microsoft.com/office/spreadsheetml/2017/richdata2" ref="C77:D83">
    <sortCondition ref="C77:C83"/>
  </sortState>
  <mergeCells count="8">
    <mergeCell ref="C81:D81"/>
    <mergeCell ref="C82:D82"/>
    <mergeCell ref="C83:D83"/>
    <mergeCell ref="C76:D76"/>
    <mergeCell ref="C77:D77"/>
    <mergeCell ref="C78:D78"/>
    <mergeCell ref="C79:D79"/>
    <mergeCell ref="C80:D80"/>
  </mergeCells>
  <pageMargins left="0.23622047244094491" right="0.23622047244094491" top="0.74803149606299213" bottom="0.74803149606299213" header="0.31496062992125984" footer="0.31496062992125984"/>
  <pageSetup paperSize="9" orientation="landscape" r:id="rId1"/>
  <headerFooter>
    <oddHeader>&amp;C&amp;A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55FCA-C29E-47BA-9D2A-7C08DD7C198C}">
  <sheetPr codeName="Sheet15"/>
  <dimension ref="A1:N61"/>
  <sheetViews>
    <sheetView topLeftCell="A35" workbookViewId="0">
      <selection activeCell="A50" sqref="A50:J50"/>
    </sheetView>
  </sheetViews>
  <sheetFormatPr defaultColWidth="8.6640625" defaultRowHeight="17.399999999999999" customHeight="1" x14ac:dyDescent="0.3"/>
  <cols>
    <col min="1" max="1" width="10.33203125" style="52" customWidth="1"/>
    <col min="2" max="2" width="12" style="52" customWidth="1"/>
    <col min="3" max="4" width="7.6640625" style="52" customWidth="1"/>
    <col min="5" max="6" width="19.33203125" style="52" customWidth="1"/>
    <col min="7" max="7" width="5.109375" style="52" customWidth="1"/>
    <col min="8" max="10" width="19.33203125" style="52" customWidth="1"/>
    <col min="11" max="12" width="8.6640625" style="52"/>
    <col min="13" max="13" width="8.33203125" style="52" customWidth="1"/>
    <col min="14" max="16384" width="8.6640625" style="52"/>
  </cols>
  <sheetData>
    <row r="1" spans="1:13" ht="17.399999999999999" customHeight="1" x14ac:dyDescent="0.3">
      <c r="A1" s="27" t="s">
        <v>92</v>
      </c>
      <c r="B1" s="44" t="s">
        <v>6</v>
      </c>
      <c r="C1" s="45" t="s">
        <v>7</v>
      </c>
      <c r="D1" s="43" t="s">
        <v>8</v>
      </c>
      <c r="E1" s="43" t="s">
        <v>91</v>
      </c>
      <c r="F1" s="43" t="s">
        <v>10</v>
      </c>
      <c r="G1" s="43"/>
      <c r="H1" s="43" t="s">
        <v>11</v>
      </c>
      <c r="I1" s="43" t="s">
        <v>90</v>
      </c>
      <c r="J1" s="43" t="s">
        <v>99</v>
      </c>
    </row>
    <row r="2" spans="1:13" ht="17.399999999999999" customHeight="1" x14ac:dyDescent="0.3">
      <c r="A2" s="31" t="s">
        <v>14</v>
      </c>
      <c r="B2" s="48">
        <v>45868</v>
      </c>
      <c r="C2" s="49" t="s">
        <v>15</v>
      </c>
      <c r="D2" s="48" t="s">
        <v>2</v>
      </c>
      <c r="E2" s="48" t="str">
        <f>F2</f>
        <v>That's What She Set</v>
      </c>
      <c r="F2" s="48" t="s">
        <v>130</v>
      </c>
      <c r="G2" s="48" t="s">
        <v>3</v>
      </c>
      <c r="H2" s="48" t="s">
        <v>176</v>
      </c>
      <c r="I2" s="48" t="str">
        <f>F3</f>
        <v>Wilsons</v>
      </c>
      <c r="J2" s="48"/>
    </row>
    <row r="3" spans="1:13" ht="17.399999999999999" customHeight="1" x14ac:dyDescent="0.3">
      <c r="A3" s="31" t="str">
        <f>A2</f>
        <v>Round 1</v>
      </c>
      <c r="B3" s="48">
        <f>B2</f>
        <v>45868</v>
      </c>
      <c r="C3" s="49" t="s">
        <v>16</v>
      </c>
      <c r="D3" s="48" t="s">
        <v>2</v>
      </c>
      <c r="E3" s="48"/>
      <c r="F3" s="48" t="s">
        <v>5</v>
      </c>
      <c r="G3" s="48" t="s">
        <v>3</v>
      </c>
      <c r="H3" s="48" t="s">
        <v>148</v>
      </c>
      <c r="I3" s="48" t="str">
        <f>F4</f>
        <v>Netflix</v>
      </c>
      <c r="J3" s="48"/>
    </row>
    <row r="4" spans="1:13" ht="17.399999999999999" customHeight="1" x14ac:dyDescent="0.3">
      <c r="A4" s="31" t="str">
        <f>A3</f>
        <v>Round 1</v>
      </c>
      <c r="B4" s="48">
        <f>B3</f>
        <v>45868</v>
      </c>
      <c r="C4" s="49" t="s">
        <v>17</v>
      </c>
      <c r="D4" s="48" t="s">
        <v>2</v>
      </c>
      <c r="E4" s="48"/>
      <c r="F4" s="48" t="s">
        <v>177</v>
      </c>
      <c r="G4" s="48" t="s">
        <v>3</v>
      </c>
      <c r="H4" s="48" t="s">
        <v>150</v>
      </c>
      <c r="I4" s="48" t="str">
        <f>H3</f>
        <v>Fitzroy Rejects</v>
      </c>
      <c r="J4" s="48" t="str">
        <f>H4</f>
        <v>CANT</v>
      </c>
    </row>
    <row r="5" spans="1:13" ht="17.399999999999999" customHeight="1" x14ac:dyDescent="0.3">
      <c r="A5" s="99" t="s">
        <v>18</v>
      </c>
      <c r="B5" s="109">
        <f>B2+7</f>
        <v>45875</v>
      </c>
      <c r="C5" s="50" t="s">
        <v>15</v>
      </c>
      <c r="D5" s="50" t="s">
        <v>2</v>
      </c>
      <c r="E5" s="50" t="str">
        <f>F5</f>
        <v>Fitzroy Rejects</v>
      </c>
      <c r="F5" s="50" t="s">
        <v>148</v>
      </c>
      <c r="G5" s="50" t="s">
        <v>3</v>
      </c>
      <c r="H5" s="50" t="s">
        <v>130</v>
      </c>
      <c r="I5" s="50" t="str">
        <f>F6</f>
        <v>Netflix</v>
      </c>
      <c r="J5" s="50"/>
    </row>
    <row r="6" spans="1:13" ht="17.399999999999999" customHeight="1" x14ac:dyDescent="0.3">
      <c r="A6" s="99" t="str">
        <f>A5</f>
        <v>Round 2</v>
      </c>
      <c r="B6" s="109">
        <f>B5</f>
        <v>45875</v>
      </c>
      <c r="C6" s="50" t="s">
        <v>16</v>
      </c>
      <c r="D6" s="50" t="s">
        <v>2</v>
      </c>
      <c r="E6" s="50"/>
      <c r="F6" s="50" t="s">
        <v>177</v>
      </c>
      <c r="G6" s="50" t="s">
        <v>3</v>
      </c>
      <c r="H6" s="50" t="s">
        <v>176</v>
      </c>
      <c r="I6" s="50" t="str">
        <f>H5</f>
        <v>That's What She Set</v>
      </c>
      <c r="J6" s="50"/>
    </row>
    <row r="7" spans="1:13" ht="17.399999999999999" customHeight="1" x14ac:dyDescent="0.3">
      <c r="A7" s="99" t="str">
        <f>A6</f>
        <v>Round 2</v>
      </c>
      <c r="B7" s="109">
        <f>B6</f>
        <v>45875</v>
      </c>
      <c r="C7" s="50" t="s">
        <v>17</v>
      </c>
      <c r="D7" s="50" t="s">
        <v>2</v>
      </c>
      <c r="E7" s="50"/>
      <c r="F7" s="50" t="s">
        <v>150</v>
      </c>
      <c r="G7" s="50" t="s">
        <v>3</v>
      </c>
      <c r="H7" s="50" t="s">
        <v>5</v>
      </c>
      <c r="I7" s="50" t="str">
        <f>H6</f>
        <v>Aceholes</v>
      </c>
      <c r="J7" s="50" t="str">
        <f>H7</f>
        <v>Wilsons</v>
      </c>
    </row>
    <row r="8" spans="1:13" ht="17.399999999999999" customHeight="1" x14ac:dyDescent="0.3">
      <c r="A8" s="31" t="s">
        <v>19</v>
      </c>
      <c r="B8" s="48">
        <f>B5+7</f>
        <v>45882</v>
      </c>
      <c r="C8" s="49" t="s">
        <v>15</v>
      </c>
      <c r="D8" s="48" t="s">
        <v>2</v>
      </c>
      <c r="E8" s="48" t="str">
        <f>F8</f>
        <v>That's What She Set</v>
      </c>
      <c r="F8" s="48" t="s">
        <v>130</v>
      </c>
      <c r="G8" s="48" t="s">
        <v>3</v>
      </c>
      <c r="H8" s="48" t="s">
        <v>177</v>
      </c>
      <c r="I8" s="48" t="str">
        <f>F9</f>
        <v>Fitzroy Rejects</v>
      </c>
      <c r="J8" s="48"/>
    </row>
    <row r="9" spans="1:13" ht="17.399999999999999" customHeight="1" x14ac:dyDescent="0.3">
      <c r="A9" s="31" t="str">
        <f>A8</f>
        <v>Round 3</v>
      </c>
      <c r="B9" s="48">
        <f>B8</f>
        <v>45882</v>
      </c>
      <c r="C9" s="49" t="s">
        <v>16</v>
      </c>
      <c r="D9" s="48" t="s">
        <v>2</v>
      </c>
      <c r="E9" s="48"/>
      <c r="F9" s="48" t="s">
        <v>148</v>
      </c>
      <c r="G9" s="48" t="s">
        <v>3</v>
      </c>
      <c r="H9" s="48" t="s">
        <v>150</v>
      </c>
      <c r="I9" s="48" t="str">
        <f>H8</f>
        <v>Netflix</v>
      </c>
      <c r="J9" s="48"/>
    </row>
    <row r="10" spans="1:13" ht="17.399999999999999" customHeight="1" x14ac:dyDescent="0.3">
      <c r="A10" s="31" t="str">
        <f>A9</f>
        <v>Round 3</v>
      </c>
      <c r="B10" s="48">
        <f>B9</f>
        <v>45882</v>
      </c>
      <c r="C10" s="49" t="s">
        <v>17</v>
      </c>
      <c r="D10" s="48" t="s">
        <v>2</v>
      </c>
      <c r="E10" s="48"/>
      <c r="F10" s="48" t="s">
        <v>5</v>
      </c>
      <c r="G10" s="48" t="s">
        <v>3</v>
      </c>
      <c r="H10" s="48" t="s">
        <v>176</v>
      </c>
      <c r="I10" s="48" t="str">
        <f>H9</f>
        <v>CANT</v>
      </c>
      <c r="J10" s="48" t="str">
        <f>H10</f>
        <v>Aceholes</v>
      </c>
    </row>
    <row r="11" spans="1:13" ht="17.399999999999999" customHeight="1" x14ac:dyDescent="0.3">
      <c r="A11" s="99" t="s">
        <v>20</v>
      </c>
      <c r="B11" s="109">
        <f>B8+7</f>
        <v>45889</v>
      </c>
      <c r="C11" s="50" t="s">
        <v>15</v>
      </c>
      <c r="D11" s="50" t="s">
        <v>2</v>
      </c>
      <c r="E11" s="50" t="str">
        <f>F11</f>
        <v>That's What She Set</v>
      </c>
      <c r="F11" s="50" t="s">
        <v>130</v>
      </c>
      <c r="G11" s="50" t="s">
        <v>3</v>
      </c>
      <c r="H11" s="50" t="s">
        <v>150</v>
      </c>
      <c r="I11" s="50" t="str">
        <f>F12</f>
        <v>Wilsons</v>
      </c>
      <c r="J11" s="50"/>
    </row>
    <row r="12" spans="1:13" ht="17.399999999999999" customHeight="1" x14ac:dyDescent="0.3">
      <c r="A12" s="99" t="str">
        <f>A11</f>
        <v>Round 4</v>
      </c>
      <c r="B12" s="109">
        <f>B11</f>
        <v>45889</v>
      </c>
      <c r="C12" s="50" t="s">
        <v>16</v>
      </c>
      <c r="D12" s="50" t="s">
        <v>2</v>
      </c>
      <c r="E12" s="50"/>
      <c r="F12" s="50" t="s">
        <v>5</v>
      </c>
      <c r="G12" s="50" t="s">
        <v>3</v>
      </c>
      <c r="H12" s="50" t="s">
        <v>177</v>
      </c>
      <c r="I12" s="50" t="str">
        <f>H11</f>
        <v>CANT</v>
      </c>
      <c r="J12" s="50"/>
    </row>
    <row r="13" spans="1:13" ht="17.399999999999999" customHeight="1" x14ac:dyDescent="0.3">
      <c r="A13" s="99" t="str">
        <f>A12</f>
        <v>Round 4</v>
      </c>
      <c r="B13" s="109">
        <f>B12</f>
        <v>45889</v>
      </c>
      <c r="C13" s="50" t="s">
        <v>17</v>
      </c>
      <c r="D13" s="50" t="s">
        <v>2</v>
      </c>
      <c r="E13" s="50"/>
      <c r="F13" s="50" t="s">
        <v>176</v>
      </c>
      <c r="G13" s="50" t="s">
        <v>3</v>
      </c>
      <c r="H13" s="50" t="s">
        <v>148</v>
      </c>
      <c r="I13" s="50" t="str">
        <f>H12</f>
        <v>Netflix</v>
      </c>
      <c r="J13" s="50" t="str">
        <f>H13</f>
        <v>Fitzroy Rejects</v>
      </c>
    </row>
    <row r="14" spans="1:13" ht="17.399999999999999" customHeight="1" x14ac:dyDescent="0.3">
      <c r="A14" s="31" t="s">
        <v>21</v>
      </c>
      <c r="B14" s="48">
        <f>B11+7</f>
        <v>45896</v>
      </c>
      <c r="C14" s="49" t="s">
        <v>15</v>
      </c>
      <c r="D14" s="48" t="s">
        <v>2</v>
      </c>
      <c r="E14" s="48" t="str">
        <f>F14</f>
        <v>That's What She Set</v>
      </c>
      <c r="F14" s="48" t="s">
        <v>130</v>
      </c>
      <c r="G14" s="48" t="s">
        <v>3</v>
      </c>
      <c r="H14" s="48" t="s">
        <v>5</v>
      </c>
      <c r="I14" s="48" t="str">
        <f>F15</f>
        <v>CANT</v>
      </c>
      <c r="J14" s="48"/>
    </row>
    <row r="15" spans="1:13" ht="17.399999999999999" customHeight="1" x14ac:dyDescent="0.25">
      <c r="A15" s="31" t="str">
        <f>A14</f>
        <v>Round 5</v>
      </c>
      <c r="B15" s="48">
        <f>B14</f>
        <v>45896</v>
      </c>
      <c r="C15" s="49" t="s">
        <v>16</v>
      </c>
      <c r="D15" s="48" t="s">
        <v>2</v>
      </c>
      <c r="E15" s="48"/>
      <c r="F15" s="48" t="s">
        <v>150</v>
      </c>
      <c r="G15" s="48" t="s">
        <v>3</v>
      </c>
      <c r="H15" s="48" t="s">
        <v>176</v>
      </c>
      <c r="I15" s="48" t="str">
        <f>H14</f>
        <v>Wilsons</v>
      </c>
      <c r="J15" s="48"/>
      <c r="L15" s="51"/>
      <c r="M15" s="51"/>
    </row>
    <row r="16" spans="1:13" ht="17.399999999999999" customHeight="1" x14ac:dyDescent="0.25">
      <c r="A16" s="31" t="str">
        <f>A15</f>
        <v>Round 5</v>
      </c>
      <c r="B16" s="48">
        <f>B15</f>
        <v>45896</v>
      </c>
      <c r="C16" s="49" t="s">
        <v>17</v>
      </c>
      <c r="D16" s="48" t="s">
        <v>2</v>
      </c>
      <c r="E16" s="48"/>
      <c r="F16" s="48" t="s">
        <v>148</v>
      </c>
      <c r="G16" s="48" t="s">
        <v>3</v>
      </c>
      <c r="H16" s="48" t="s">
        <v>177</v>
      </c>
      <c r="I16" s="48" t="str">
        <f>H15</f>
        <v>Aceholes</v>
      </c>
      <c r="J16" s="48" t="str">
        <f>H16</f>
        <v>Netflix</v>
      </c>
      <c r="L16" s="51"/>
      <c r="M16" s="51"/>
    </row>
    <row r="17" spans="1:10" ht="17.399999999999999" customHeight="1" x14ac:dyDescent="0.3">
      <c r="A17" s="99" t="s">
        <v>22</v>
      </c>
      <c r="B17" s="109">
        <f>B14+7</f>
        <v>45903</v>
      </c>
      <c r="C17" s="50" t="s">
        <v>15</v>
      </c>
      <c r="D17" s="50" t="s">
        <v>2</v>
      </c>
      <c r="E17" s="50" t="str">
        <f>F17</f>
        <v>Netflix</v>
      </c>
      <c r="F17" s="50" t="s">
        <v>177</v>
      </c>
      <c r="G17" s="50" t="s">
        <v>3</v>
      </c>
      <c r="H17" s="50" t="s">
        <v>150</v>
      </c>
      <c r="I17" s="50" t="str">
        <f>F18</f>
        <v>Aceholes</v>
      </c>
      <c r="J17" s="50"/>
    </row>
    <row r="18" spans="1:10" ht="17.399999999999999" customHeight="1" x14ac:dyDescent="0.3">
      <c r="A18" s="99" t="str">
        <f>A17</f>
        <v>Round 6</v>
      </c>
      <c r="B18" s="109">
        <f>B17</f>
        <v>45903</v>
      </c>
      <c r="C18" s="50" t="s">
        <v>16</v>
      </c>
      <c r="D18" s="50" t="s">
        <v>2</v>
      </c>
      <c r="E18" s="50"/>
      <c r="F18" s="50" t="s">
        <v>176</v>
      </c>
      <c r="G18" s="50" t="s">
        <v>3</v>
      </c>
      <c r="H18" s="50" t="s">
        <v>130</v>
      </c>
      <c r="I18" s="50" t="str">
        <f>H17</f>
        <v>CANT</v>
      </c>
      <c r="J18" s="50"/>
    </row>
    <row r="19" spans="1:10" ht="17.399999999999999" customHeight="1" x14ac:dyDescent="0.3">
      <c r="A19" s="99" t="str">
        <f>A18</f>
        <v>Round 6</v>
      </c>
      <c r="B19" s="109">
        <f>B18</f>
        <v>45903</v>
      </c>
      <c r="C19" s="50" t="s">
        <v>17</v>
      </c>
      <c r="D19" s="50" t="s">
        <v>2</v>
      </c>
      <c r="E19" s="50"/>
      <c r="F19" s="50" t="s">
        <v>5</v>
      </c>
      <c r="G19" s="50" t="s">
        <v>3</v>
      </c>
      <c r="H19" s="50" t="s">
        <v>148</v>
      </c>
      <c r="I19" s="50" t="str">
        <f>H18</f>
        <v>That's What She Set</v>
      </c>
      <c r="J19" s="50" t="str">
        <f>H19</f>
        <v>Fitzroy Rejects</v>
      </c>
    </row>
    <row r="20" spans="1:10" ht="17.399999999999999" customHeight="1" x14ac:dyDescent="0.3">
      <c r="A20" s="31" t="s">
        <v>23</v>
      </c>
      <c r="B20" s="48">
        <f>B17+7</f>
        <v>45910</v>
      </c>
      <c r="C20" s="49" t="s">
        <v>15</v>
      </c>
      <c r="D20" s="48" t="s">
        <v>2</v>
      </c>
      <c r="E20" s="48" t="str">
        <f>F20</f>
        <v>Aceholes</v>
      </c>
      <c r="F20" s="48" t="s">
        <v>176</v>
      </c>
      <c r="G20" s="48" t="s">
        <v>3</v>
      </c>
      <c r="H20" s="48" t="s">
        <v>177</v>
      </c>
      <c r="I20" s="48" t="str">
        <f>F21</f>
        <v>That's What She Set</v>
      </c>
      <c r="J20" s="48"/>
    </row>
    <row r="21" spans="1:10" ht="17.399999999999999" customHeight="1" x14ac:dyDescent="0.3">
      <c r="A21" s="31" t="str">
        <f>A20</f>
        <v>Round 7</v>
      </c>
      <c r="B21" s="48">
        <f>B20</f>
        <v>45910</v>
      </c>
      <c r="C21" s="49" t="s">
        <v>16</v>
      </c>
      <c r="D21" s="48" t="s">
        <v>2</v>
      </c>
      <c r="E21" s="48"/>
      <c r="F21" s="48" t="s">
        <v>130</v>
      </c>
      <c r="G21" s="48" t="s">
        <v>3</v>
      </c>
      <c r="H21" s="48" t="s">
        <v>148</v>
      </c>
      <c r="I21" s="48" t="str">
        <f>H20</f>
        <v>Netflix</v>
      </c>
      <c r="J21" s="48"/>
    </row>
    <row r="22" spans="1:10" ht="17.399999999999999" customHeight="1" x14ac:dyDescent="0.3">
      <c r="A22" s="31" t="str">
        <f>A21</f>
        <v>Round 7</v>
      </c>
      <c r="B22" s="48">
        <f>B21</f>
        <v>45910</v>
      </c>
      <c r="C22" s="49" t="s">
        <v>17</v>
      </c>
      <c r="D22" s="48" t="s">
        <v>2</v>
      </c>
      <c r="E22" s="48"/>
      <c r="F22" s="48" t="s">
        <v>150</v>
      </c>
      <c r="G22" s="48" t="s">
        <v>3</v>
      </c>
      <c r="H22" s="48" t="s">
        <v>5</v>
      </c>
      <c r="I22" s="48" t="str">
        <f>H21</f>
        <v>Fitzroy Rejects</v>
      </c>
      <c r="J22" s="48" t="str">
        <f>H22</f>
        <v>Wilsons</v>
      </c>
    </row>
    <row r="23" spans="1:10" ht="17.399999999999999" customHeight="1" x14ac:dyDescent="0.3">
      <c r="A23" s="99" t="s">
        <v>24</v>
      </c>
      <c r="B23" s="109">
        <f>B20+7</f>
        <v>45917</v>
      </c>
      <c r="C23" s="50" t="s">
        <v>15</v>
      </c>
      <c r="D23" s="50" t="s">
        <v>2</v>
      </c>
      <c r="E23" s="50" t="str">
        <f>F23</f>
        <v>CANT</v>
      </c>
      <c r="F23" s="50" t="s">
        <v>150</v>
      </c>
      <c r="G23" s="50" t="s">
        <v>3</v>
      </c>
      <c r="H23" s="50" t="s">
        <v>148</v>
      </c>
      <c r="I23" s="50" t="str">
        <f>F24</f>
        <v>Wilsons</v>
      </c>
      <c r="J23" s="50"/>
    </row>
    <row r="24" spans="1:10" ht="17.399999999999999" customHeight="1" x14ac:dyDescent="0.3">
      <c r="A24" s="99" t="str">
        <f>A23</f>
        <v>Round 8</v>
      </c>
      <c r="B24" s="109">
        <f>B23</f>
        <v>45917</v>
      </c>
      <c r="C24" s="50" t="s">
        <v>16</v>
      </c>
      <c r="D24" s="50" t="s">
        <v>2</v>
      </c>
      <c r="E24" s="50"/>
      <c r="F24" s="50" t="s">
        <v>5</v>
      </c>
      <c r="G24" s="50" t="s">
        <v>3</v>
      </c>
      <c r="H24" s="50" t="s">
        <v>176</v>
      </c>
      <c r="I24" s="50" t="str">
        <f>H23</f>
        <v>Fitzroy Rejects</v>
      </c>
      <c r="J24" s="50"/>
    </row>
    <row r="25" spans="1:10" ht="17.399999999999999" customHeight="1" x14ac:dyDescent="0.3">
      <c r="A25" s="99" t="str">
        <f>A24</f>
        <v>Round 8</v>
      </c>
      <c r="B25" s="109">
        <f>B24</f>
        <v>45917</v>
      </c>
      <c r="C25" s="50" t="s">
        <v>17</v>
      </c>
      <c r="D25" s="50" t="s">
        <v>2</v>
      </c>
      <c r="E25" s="50"/>
      <c r="F25" s="50" t="s">
        <v>130</v>
      </c>
      <c r="G25" s="50" t="s">
        <v>3</v>
      </c>
      <c r="H25" s="50" t="s">
        <v>177</v>
      </c>
      <c r="I25" s="50" t="str">
        <f>H24</f>
        <v>Aceholes</v>
      </c>
      <c r="J25" s="50" t="str">
        <f>H25</f>
        <v>Netflix</v>
      </c>
    </row>
    <row r="26" spans="1:10" ht="17.399999999999999" customHeight="1" x14ac:dyDescent="0.3">
      <c r="A26" s="27"/>
      <c r="B26" s="44">
        <f>B25+7</f>
        <v>45924</v>
      </c>
      <c r="C26" s="45"/>
      <c r="D26" s="45"/>
      <c r="E26" s="45" t="s">
        <v>158</v>
      </c>
      <c r="F26" s="45"/>
      <c r="G26" s="45"/>
      <c r="H26" s="45"/>
      <c r="I26" s="45"/>
      <c r="J26" s="45"/>
    </row>
    <row r="27" spans="1:10" ht="17.399999999999999" customHeight="1" x14ac:dyDescent="0.3">
      <c r="A27" s="27"/>
      <c r="B27" s="44">
        <f>B26+7</f>
        <v>45931</v>
      </c>
      <c r="C27" s="45"/>
      <c r="D27" s="45"/>
      <c r="E27" s="45" t="s">
        <v>158</v>
      </c>
      <c r="F27" s="45"/>
      <c r="G27" s="45"/>
      <c r="H27" s="45"/>
      <c r="I27" s="45"/>
      <c r="J27" s="45"/>
    </row>
    <row r="28" spans="1:10" ht="17.399999999999999" customHeight="1" x14ac:dyDescent="0.3">
      <c r="A28" s="27" t="s">
        <v>92</v>
      </c>
      <c r="B28" s="44" t="s">
        <v>6</v>
      </c>
      <c r="C28" s="45" t="s">
        <v>7</v>
      </c>
      <c r="D28" s="43" t="s">
        <v>8</v>
      </c>
      <c r="E28" s="43" t="s">
        <v>91</v>
      </c>
      <c r="F28" s="43" t="s">
        <v>10</v>
      </c>
      <c r="G28" s="43"/>
      <c r="H28" s="43" t="s">
        <v>11</v>
      </c>
      <c r="I28" s="43" t="s">
        <v>90</v>
      </c>
      <c r="J28" s="43" t="s">
        <v>99</v>
      </c>
    </row>
    <row r="29" spans="1:10" ht="17.399999999999999" customHeight="1" x14ac:dyDescent="0.3">
      <c r="A29" s="31" t="s">
        <v>26</v>
      </c>
      <c r="B29" s="48">
        <f>B27+7</f>
        <v>45938</v>
      </c>
      <c r="C29" s="47" t="s">
        <v>15</v>
      </c>
      <c r="D29" s="48" t="s">
        <v>2</v>
      </c>
      <c r="E29" s="49" t="str">
        <f>F29</f>
        <v>That's What She Set</v>
      </c>
      <c r="F29" s="48" t="s">
        <v>130</v>
      </c>
      <c r="G29" s="48" t="s">
        <v>3</v>
      </c>
      <c r="H29" s="48" t="s">
        <v>150</v>
      </c>
      <c r="I29" s="48" t="str">
        <f>F30</f>
        <v>Fitzroy Rejects</v>
      </c>
      <c r="J29" s="48"/>
    </row>
    <row r="30" spans="1:10" ht="17.399999999999999" customHeight="1" x14ac:dyDescent="0.3">
      <c r="A30" s="31" t="str">
        <f>A29</f>
        <v>Round 9</v>
      </c>
      <c r="B30" s="48">
        <f>B29</f>
        <v>45938</v>
      </c>
      <c r="C30" s="47" t="s">
        <v>16</v>
      </c>
      <c r="D30" s="48" t="s">
        <v>2</v>
      </c>
      <c r="E30" s="49"/>
      <c r="F30" s="48" t="s">
        <v>148</v>
      </c>
      <c r="G30" s="48" t="s">
        <v>3</v>
      </c>
      <c r="H30" s="48" t="s">
        <v>176</v>
      </c>
      <c r="I30" s="48" t="str">
        <f>H29</f>
        <v>CANT</v>
      </c>
      <c r="J30" s="48"/>
    </row>
    <row r="31" spans="1:10" ht="17.399999999999999" customHeight="1" x14ac:dyDescent="0.3">
      <c r="A31" s="31" t="str">
        <f>A30</f>
        <v>Round 9</v>
      </c>
      <c r="B31" s="48">
        <f>B30</f>
        <v>45938</v>
      </c>
      <c r="C31" s="47" t="s">
        <v>17</v>
      </c>
      <c r="D31" s="48" t="s">
        <v>2</v>
      </c>
      <c r="E31" s="49"/>
      <c r="F31" s="48" t="s">
        <v>177</v>
      </c>
      <c r="G31" s="48" t="s">
        <v>3</v>
      </c>
      <c r="H31" s="48" t="s">
        <v>5</v>
      </c>
      <c r="I31" s="48" t="str">
        <f>H30</f>
        <v>Aceholes</v>
      </c>
      <c r="J31" s="48" t="str">
        <f>H31</f>
        <v>Wilsons</v>
      </c>
    </row>
    <row r="32" spans="1:10" ht="17.399999999999999" customHeight="1" x14ac:dyDescent="0.3">
      <c r="A32" s="99" t="s">
        <v>27</v>
      </c>
      <c r="B32" s="109">
        <f>B29+7</f>
        <v>45945</v>
      </c>
      <c r="C32" s="50" t="s">
        <v>15</v>
      </c>
      <c r="D32" s="50" t="s">
        <v>2</v>
      </c>
      <c r="E32" s="50" t="str">
        <f>F32</f>
        <v>Aceholes</v>
      </c>
      <c r="F32" s="50" t="s">
        <v>176</v>
      </c>
      <c r="G32" s="50" t="s">
        <v>3</v>
      </c>
      <c r="H32" s="50" t="s">
        <v>150</v>
      </c>
      <c r="I32" s="50" t="str">
        <f>F33</f>
        <v>Wilsons</v>
      </c>
      <c r="J32" s="50"/>
    </row>
    <row r="33" spans="1:14" ht="17.399999999999999" customHeight="1" x14ac:dyDescent="0.3">
      <c r="A33" s="99" t="str">
        <f>A32</f>
        <v>Round 10</v>
      </c>
      <c r="B33" s="109">
        <f>B32</f>
        <v>45945</v>
      </c>
      <c r="C33" s="50" t="s">
        <v>16</v>
      </c>
      <c r="D33" s="50" t="s">
        <v>2</v>
      </c>
      <c r="E33" s="50"/>
      <c r="F33" s="50" t="s">
        <v>5</v>
      </c>
      <c r="G33" s="50" t="s">
        <v>3</v>
      </c>
      <c r="H33" s="50" t="s">
        <v>130</v>
      </c>
      <c r="I33" s="50" t="str">
        <f>H32</f>
        <v>CANT</v>
      </c>
      <c r="J33" s="50"/>
    </row>
    <row r="34" spans="1:14" ht="17.399999999999999" customHeight="1" x14ac:dyDescent="0.3">
      <c r="A34" s="99" t="str">
        <f>A33</f>
        <v>Round 10</v>
      </c>
      <c r="B34" s="109">
        <f>B33</f>
        <v>45945</v>
      </c>
      <c r="C34" s="50" t="s">
        <v>17</v>
      </c>
      <c r="D34" s="50" t="s">
        <v>2</v>
      </c>
      <c r="E34" s="50"/>
      <c r="F34" s="50" t="s">
        <v>148</v>
      </c>
      <c r="G34" s="50" t="s">
        <v>3</v>
      </c>
      <c r="H34" s="50" t="s">
        <v>177</v>
      </c>
      <c r="I34" s="50" t="str">
        <f>H33</f>
        <v>That's What She Set</v>
      </c>
      <c r="J34" s="50" t="str">
        <f>H34</f>
        <v>Netflix</v>
      </c>
    </row>
    <row r="35" spans="1:14" ht="17.399999999999999" customHeight="1" x14ac:dyDescent="0.3">
      <c r="A35" s="31" t="s">
        <v>28</v>
      </c>
      <c r="B35" s="48">
        <f>B32+7</f>
        <v>45952</v>
      </c>
      <c r="C35" s="47" t="s">
        <v>15</v>
      </c>
      <c r="D35" s="48" t="s">
        <v>2</v>
      </c>
      <c r="E35" s="49" t="str">
        <f>F35</f>
        <v>That's What She Set</v>
      </c>
      <c r="F35" s="48" t="s">
        <v>130</v>
      </c>
      <c r="G35" s="48" t="s">
        <v>3</v>
      </c>
      <c r="H35" s="48" t="s">
        <v>176</v>
      </c>
      <c r="I35" s="48" t="str">
        <f>F36</f>
        <v>CANT</v>
      </c>
      <c r="J35" s="48"/>
    </row>
    <row r="36" spans="1:14" ht="17.399999999999999" customHeight="1" x14ac:dyDescent="0.25">
      <c r="A36" s="31" t="str">
        <f>A35</f>
        <v>Round 11</v>
      </c>
      <c r="B36" s="48">
        <f>B35</f>
        <v>45952</v>
      </c>
      <c r="C36" s="47" t="s">
        <v>16</v>
      </c>
      <c r="D36" s="48" t="s">
        <v>2</v>
      </c>
      <c r="E36" s="49"/>
      <c r="F36" s="48" t="s">
        <v>150</v>
      </c>
      <c r="G36" s="48" t="s">
        <v>3</v>
      </c>
      <c r="H36" s="48" t="s">
        <v>177</v>
      </c>
      <c r="I36" s="48" t="str">
        <f>H35</f>
        <v>Aceholes</v>
      </c>
      <c r="J36" s="48"/>
      <c r="L36" s="46"/>
      <c r="M36" s="46"/>
    </row>
    <row r="37" spans="1:14" ht="17.399999999999999" customHeight="1" x14ac:dyDescent="0.25">
      <c r="A37" s="31" t="str">
        <f>A36</f>
        <v>Round 11</v>
      </c>
      <c r="B37" s="48">
        <f>B36</f>
        <v>45952</v>
      </c>
      <c r="C37" s="47" t="s">
        <v>17</v>
      </c>
      <c r="D37" s="48" t="s">
        <v>2</v>
      </c>
      <c r="E37" s="49"/>
      <c r="F37" s="48" t="s">
        <v>5</v>
      </c>
      <c r="G37" s="48" t="s">
        <v>3</v>
      </c>
      <c r="H37" s="48" t="s">
        <v>148</v>
      </c>
      <c r="I37" s="48" t="str">
        <f>H36</f>
        <v>Netflix</v>
      </c>
      <c r="J37" s="48" t="str">
        <f>H37</f>
        <v>Fitzroy Rejects</v>
      </c>
      <c r="L37" s="46"/>
      <c r="M37" s="46"/>
    </row>
    <row r="38" spans="1:14" ht="17.399999999999999" customHeight="1" x14ac:dyDescent="0.25">
      <c r="A38" s="99" t="s">
        <v>29</v>
      </c>
      <c r="B38" s="109">
        <f>B35+7</f>
        <v>45959</v>
      </c>
      <c r="C38" s="50" t="s">
        <v>15</v>
      </c>
      <c r="D38" s="50" t="s">
        <v>2</v>
      </c>
      <c r="E38" s="50" t="str">
        <f>F38</f>
        <v>CANT</v>
      </c>
      <c r="F38" s="50" t="s">
        <v>150</v>
      </c>
      <c r="G38" s="50" t="s">
        <v>3</v>
      </c>
      <c r="H38" s="50" t="s">
        <v>5</v>
      </c>
      <c r="I38" s="50" t="str">
        <f>F39</f>
        <v>Fitzroy Rejects</v>
      </c>
      <c r="J38" s="50"/>
      <c r="L38" s="46"/>
      <c r="M38" s="46"/>
    </row>
    <row r="39" spans="1:14" ht="17.399999999999999" customHeight="1" x14ac:dyDescent="0.25">
      <c r="A39" s="99" t="str">
        <f>A38</f>
        <v>Round 12</v>
      </c>
      <c r="B39" s="109">
        <f>B38</f>
        <v>45959</v>
      </c>
      <c r="C39" s="50" t="s">
        <v>16</v>
      </c>
      <c r="D39" s="50" t="s">
        <v>2</v>
      </c>
      <c r="E39" s="50"/>
      <c r="F39" s="50" t="s">
        <v>148</v>
      </c>
      <c r="G39" s="50" t="s">
        <v>3</v>
      </c>
      <c r="H39" s="50" t="s">
        <v>130</v>
      </c>
      <c r="I39" s="50" t="str">
        <f>H38</f>
        <v>Wilsons</v>
      </c>
      <c r="J39" s="50"/>
      <c r="L39" s="46"/>
      <c r="M39" s="46"/>
    </row>
    <row r="40" spans="1:14" ht="17.399999999999999" customHeight="1" x14ac:dyDescent="0.25">
      <c r="A40" s="99" t="str">
        <f>A39</f>
        <v>Round 12</v>
      </c>
      <c r="B40" s="109">
        <f>B39</f>
        <v>45959</v>
      </c>
      <c r="C40" s="50" t="s">
        <v>17</v>
      </c>
      <c r="D40" s="50" t="s">
        <v>2</v>
      </c>
      <c r="E40" s="50"/>
      <c r="F40" s="50" t="s">
        <v>177</v>
      </c>
      <c r="G40" s="50" t="s">
        <v>3</v>
      </c>
      <c r="H40" s="50" t="s">
        <v>176</v>
      </c>
      <c r="I40" s="50" t="str">
        <f>H39</f>
        <v>That's What She Set</v>
      </c>
      <c r="J40" s="50" t="str">
        <f>H40</f>
        <v>Aceholes</v>
      </c>
      <c r="L40" s="46"/>
      <c r="M40" s="46"/>
    </row>
    <row r="41" spans="1:14" ht="17.399999999999999" customHeight="1" x14ac:dyDescent="0.3">
      <c r="A41" s="31" t="s">
        <v>30</v>
      </c>
      <c r="B41" s="48">
        <f>B38+7</f>
        <v>45966</v>
      </c>
      <c r="C41" s="47" t="s">
        <v>53</v>
      </c>
      <c r="D41" s="48" t="s">
        <v>2</v>
      </c>
      <c r="E41" s="49" t="str">
        <f>F41</f>
        <v>Aceholes</v>
      </c>
      <c r="F41" s="48" t="s">
        <v>176</v>
      </c>
      <c r="G41" s="48" t="s">
        <v>3</v>
      </c>
      <c r="H41" s="48" t="s">
        <v>5</v>
      </c>
      <c r="I41" s="48" t="str">
        <f>F42</f>
        <v>That's What She Set</v>
      </c>
      <c r="J41" s="48"/>
    </row>
    <row r="42" spans="1:14" ht="17.399999999999999" customHeight="1" x14ac:dyDescent="0.3">
      <c r="A42" s="31" t="str">
        <f>A41</f>
        <v>Round 13</v>
      </c>
      <c r="B42" s="48">
        <f>B41</f>
        <v>45966</v>
      </c>
      <c r="C42" s="47" t="s">
        <v>54</v>
      </c>
      <c r="D42" s="48" t="s">
        <v>2</v>
      </c>
      <c r="E42" s="49"/>
      <c r="F42" s="48" t="s">
        <v>130</v>
      </c>
      <c r="G42" s="48" t="s">
        <v>3</v>
      </c>
      <c r="H42" s="48" t="s">
        <v>177</v>
      </c>
      <c r="I42" s="48" t="str">
        <f>H41</f>
        <v>Wilsons</v>
      </c>
      <c r="J42" s="48"/>
    </row>
    <row r="43" spans="1:14" ht="17.399999999999999" customHeight="1" x14ac:dyDescent="0.3">
      <c r="A43" s="31" t="str">
        <f>A42</f>
        <v>Round 13</v>
      </c>
      <c r="B43" s="48">
        <f>B42</f>
        <v>45966</v>
      </c>
      <c r="C43" s="47" t="s">
        <v>55</v>
      </c>
      <c r="D43" s="48" t="s">
        <v>2</v>
      </c>
      <c r="E43" s="49"/>
      <c r="F43" s="48" t="s">
        <v>148</v>
      </c>
      <c r="G43" s="48" t="s">
        <v>3</v>
      </c>
      <c r="H43" s="48" t="s">
        <v>150</v>
      </c>
      <c r="I43" s="48" t="str">
        <f>H42</f>
        <v>Netflix</v>
      </c>
      <c r="J43" s="48" t="str">
        <f>H43</f>
        <v>CANT</v>
      </c>
    </row>
    <row r="44" spans="1:14" ht="17.399999999999999" customHeight="1" x14ac:dyDescent="0.3">
      <c r="A44" s="99" t="s">
        <v>31</v>
      </c>
      <c r="B44" s="109">
        <f>B41+7</f>
        <v>45973</v>
      </c>
      <c r="C44" s="50" t="s">
        <v>15</v>
      </c>
      <c r="D44" s="50" t="s">
        <v>2</v>
      </c>
      <c r="E44" s="50" t="str">
        <f>F44</f>
        <v>CANT</v>
      </c>
      <c r="F44" s="109" t="s">
        <v>150</v>
      </c>
      <c r="G44" s="109" t="s">
        <v>3</v>
      </c>
      <c r="H44" s="109" t="s">
        <v>130</v>
      </c>
      <c r="I44" s="50" t="str">
        <f>F45</f>
        <v>Fitzroy Rejects</v>
      </c>
      <c r="J44" s="50"/>
    </row>
    <row r="45" spans="1:14" ht="17.399999999999999" customHeight="1" x14ac:dyDescent="0.3">
      <c r="A45" s="99" t="str">
        <f>A44</f>
        <v>Round 14</v>
      </c>
      <c r="B45" s="109">
        <f>B44</f>
        <v>45973</v>
      </c>
      <c r="C45" s="50" t="s">
        <v>16</v>
      </c>
      <c r="D45" s="50" t="s">
        <v>2</v>
      </c>
      <c r="E45" s="50"/>
      <c r="F45" s="109" t="s">
        <v>148</v>
      </c>
      <c r="G45" s="109" t="s">
        <v>3</v>
      </c>
      <c r="H45" s="109" t="s">
        <v>176</v>
      </c>
      <c r="I45" s="50" t="str">
        <f>H44</f>
        <v>That's What She Set</v>
      </c>
      <c r="J45" s="50"/>
    </row>
    <row r="46" spans="1:14" ht="17.399999999999999" customHeight="1" x14ac:dyDescent="0.3">
      <c r="A46" s="99" t="str">
        <f>A45</f>
        <v>Round 14</v>
      </c>
      <c r="B46" s="109">
        <f>B45</f>
        <v>45973</v>
      </c>
      <c r="C46" s="50" t="s">
        <v>17</v>
      </c>
      <c r="D46" s="50" t="s">
        <v>2</v>
      </c>
      <c r="E46" s="50"/>
      <c r="F46" s="109" t="s">
        <v>177</v>
      </c>
      <c r="G46" s="109" t="s">
        <v>3</v>
      </c>
      <c r="H46" s="109" t="s">
        <v>5</v>
      </c>
      <c r="I46" s="50" t="str">
        <f>H45</f>
        <v>Aceholes</v>
      </c>
      <c r="J46" s="50" t="str">
        <f>H46</f>
        <v>Wilsons</v>
      </c>
    </row>
    <row r="47" spans="1:14" s="46" customFormat="1" ht="17.399999999999999" customHeight="1" x14ac:dyDescent="0.25">
      <c r="A47" s="122" t="s">
        <v>103</v>
      </c>
      <c r="B47" s="44">
        <f>B46+7</f>
        <v>45980</v>
      </c>
      <c r="C47" s="45" t="s">
        <v>15</v>
      </c>
      <c r="D47" s="43" t="s">
        <v>2</v>
      </c>
      <c r="E47" s="43" t="str">
        <f>F47</f>
        <v>Netflix</v>
      </c>
      <c r="F47" s="43" t="s">
        <v>177</v>
      </c>
      <c r="G47" s="43" t="s">
        <v>3</v>
      </c>
      <c r="H47" s="43" t="s">
        <v>176</v>
      </c>
      <c r="I47" s="43" t="str">
        <f>F48</f>
        <v>CANT</v>
      </c>
      <c r="J47" s="43"/>
      <c r="N47" s="52"/>
    </row>
    <row r="48" spans="1:14" s="46" customFormat="1" ht="17.399999999999999" customHeight="1" x14ac:dyDescent="0.25">
      <c r="A48" s="122" t="str">
        <f>A47</f>
        <v>Prelim Final</v>
      </c>
      <c r="B48" s="44">
        <f>B47</f>
        <v>45980</v>
      </c>
      <c r="C48" s="45" t="s">
        <v>16</v>
      </c>
      <c r="D48" s="43" t="s">
        <v>2</v>
      </c>
      <c r="E48" s="43"/>
      <c r="F48" s="43" t="s">
        <v>150</v>
      </c>
      <c r="G48" s="43" t="s">
        <v>3</v>
      </c>
      <c r="H48" s="43" t="s">
        <v>5</v>
      </c>
      <c r="I48" s="43" t="str">
        <f>H47</f>
        <v>Aceholes</v>
      </c>
      <c r="J48" s="43" t="str">
        <f>H48</f>
        <v>Wilsons</v>
      </c>
      <c r="N48" s="52"/>
    </row>
    <row r="49" spans="1:14" s="46" customFormat="1" ht="17.399999999999999" customHeight="1" x14ac:dyDescent="0.25">
      <c r="A49" s="122" t="s">
        <v>104</v>
      </c>
      <c r="B49" s="44">
        <f>B48+7</f>
        <v>45987</v>
      </c>
      <c r="C49" s="45" t="s">
        <v>15</v>
      </c>
      <c r="D49" s="43" t="s">
        <v>2</v>
      </c>
      <c r="E49" s="43" t="str">
        <f>F49</f>
        <v>Aceholes</v>
      </c>
      <c r="F49" s="43" t="s">
        <v>176</v>
      </c>
      <c r="G49" s="43" t="s">
        <v>3</v>
      </c>
      <c r="H49" s="43" t="s">
        <v>150</v>
      </c>
      <c r="I49" s="43" t="str">
        <f>F50</f>
        <v>Netflix</v>
      </c>
      <c r="J49" s="43" t="str">
        <f>H49</f>
        <v>CANT</v>
      </c>
      <c r="N49" s="52"/>
    </row>
    <row r="50" spans="1:14" s="46" customFormat="1" ht="17.399999999999999" customHeight="1" x14ac:dyDescent="0.25">
      <c r="A50" s="27" t="s">
        <v>105</v>
      </c>
      <c r="B50" s="44">
        <f>B49+7</f>
        <v>45994</v>
      </c>
      <c r="C50" s="45" t="s">
        <v>16</v>
      </c>
      <c r="D50" s="43" t="s">
        <v>2</v>
      </c>
      <c r="E50" s="43" t="str">
        <f>F50</f>
        <v>Netflix</v>
      </c>
      <c r="F50" s="43" t="s">
        <v>177</v>
      </c>
      <c r="G50" s="43" t="s">
        <v>3</v>
      </c>
      <c r="H50" s="43" t="s">
        <v>150</v>
      </c>
      <c r="I50" s="43" t="s">
        <v>250</v>
      </c>
      <c r="J50" s="43" t="str">
        <f>H50</f>
        <v>CANT</v>
      </c>
      <c r="N50" s="52"/>
    </row>
    <row r="51" spans="1:14" s="46" customFormat="1" ht="17.399999999999999" customHeight="1" x14ac:dyDescent="0.25">
      <c r="A51" s="52"/>
      <c r="B51" s="53"/>
      <c r="C51" s="54"/>
      <c r="D51" s="52"/>
      <c r="E51" s="52"/>
      <c r="F51" s="52"/>
      <c r="G51" s="52"/>
      <c r="H51" s="52"/>
      <c r="I51" s="52"/>
      <c r="J51" s="52"/>
      <c r="N51" s="52"/>
    </row>
    <row r="52" spans="1:14" s="46" customFormat="1" ht="17.399999999999999" customHeight="1" x14ac:dyDescent="0.25">
      <c r="A52" s="52"/>
      <c r="B52" s="53"/>
      <c r="C52" s="54"/>
      <c r="D52" s="52"/>
      <c r="E52" s="52"/>
      <c r="F52" s="52"/>
      <c r="G52" s="52"/>
      <c r="H52" s="52"/>
      <c r="I52" s="52"/>
      <c r="J52" s="52"/>
      <c r="N52" s="52"/>
    </row>
    <row r="53" spans="1:14" s="46" customFormat="1" ht="17.399999999999999" customHeight="1" x14ac:dyDescent="0.25">
      <c r="A53" s="52"/>
      <c r="B53" s="53"/>
      <c r="C53" s="54"/>
      <c r="D53" s="52"/>
      <c r="E53" s="52"/>
      <c r="F53" s="52"/>
      <c r="G53" s="52"/>
      <c r="H53" s="52"/>
      <c r="I53" s="52"/>
      <c r="J53" s="52"/>
      <c r="N53" s="52"/>
    </row>
    <row r="54" spans="1:14" s="46" customFormat="1" ht="17.399999999999999" customHeight="1" x14ac:dyDescent="0.25">
      <c r="A54" s="52"/>
      <c r="B54" s="53"/>
      <c r="C54" s="54"/>
      <c r="D54" s="52"/>
      <c r="E54" s="52"/>
      <c r="F54" s="52"/>
      <c r="G54" s="52"/>
      <c r="H54" s="52"/>
      <c r="I54" s="52"/>
      <c r="J54" s="52"/>
      <c r="N54" s="52"/>
    </row>
    <row r="55" spans="1:14" s="46" customFormat="1" ht="17.399999999999999" customHeight="1" x14ac:dyDescent="0.25">
      <c r="A55" s="22" t="s">
        <v>89</v>
      </c>
      <c r="B55" s="22" t="s">
        <v>66</v>
      </c>
      <c r="C55" s="145" t="s">
        <v>134</v>
      </c>
      <c r="D55" s="145"/>
      <c r="E55" s="11" t="s">
        <v>63</v>
      </c>
      <c r="F55" s="11" t="s">
        <v>10</v>
      </c>
      <c r="G55" s="11"/>
      <c r="H55" s="11" t="s">
        <v>11</v>
      </c>
      <c r="I55" s="11" t="s">
        <v>64</v>
      </c>
      <c r="J55" s="11" t="s">
        <v>65</v>
      </c>
      <c r="K55" s="52"/>
      <c r="L55" s="52"/>
      <c r="M55" s="52"/>
      <c r="N55" s="52"/>
    </row>
    <row r="56" spans="1:14" s="46" customFormat="1" ht="17.399999999999999" customHeight="1" x14ac:dyDescent="0.25">
      <c r="A56" s="52">
        <f>F56+H56</f>
        <v>14</v>
      </c>
      <c r="B56" s="52">
        <f>E56+I56+J56</f>
        <v>12</v>
      </c>
      <c r="C56" s="144" t="s">
        <v>176</v>
      </c>
      <c r="D56" s="144"/>
      <c r="E56" s="52">
        <f t="shared" ref="E56:F61" si="0">COUNTIF(E$1:E$46,$C56)</f>
        <v>3</v>
      </c>
      <c r="F56" s="52">
        <f t="shared" si="0"/>
        <v>5</v>
      </c>
      <c r="G56" s="52"/>
      <c r="H56" s="52">
        <f t="shared" ref="H56:J61" si="1">COUNTIF(H$1:H$46,$C56)</f>
        <v>9</v>
      </c>
      <c r="I56" s="52">
        <f t="shared" si="1"/>
        <v>7</v>
      </c>
      <c r="J56" s="52">
        <f t="shared" si="1"/>
        <v>2</v>
      </c>
      <c r="K56" s="51"/>
      <c r="L56" s="51"/>
      <c r="M56" s="51"/>
      <c r="N56" s="52"/>
    </row>
    <row r="57" spans="1:14" s="46" customFormat="1" ht="17.399999999999999" customHeight="1" x14ac:dyDescent="0.25">
      <c r="A57" s="52">
        <f t="shared" ref="A57:A61" si="2">F57+H57</f>
        <v>14</v>
      </c>
      <c r="B57" s="52">
        <f t="shared" ref="B57:B61" si="3">E57+I57+J57</f>
        <v>12</v>
      </c>
      <c r="C57" s="144" t="s">
        <v>150</v>
      </c>
      <c r="D57" s="144"/>
      <c r="E57" s="52">
        <f t="shared" si="0"/>
        <v>3</v>
      </c>
      <c r="F57" s="52">
        <f t="shared" si="0"/>
        <v>7</v>
      </c>
      <c r="G57" s="52"/>
      <c r="H57" s="52">
        <f t="shared" si="1"/>
        <v>7</v>
      </c>
      <c r="I57" s="52">
        <f t="shared" si="1"/>
        <v>7</v>
      </c>
      <c r="J57" s="52">
        <f t="shared" si="1"/>
        <v>2</v>
      </c>
      <c r="K57" s="51"/>
      <c r="L57" s="51"/>
      <c r="M57" s="51"/>
      <c r="N57" s="52"/>
    </row>
    <row r="58" spans="1:14" s="46" customFormat="1" ht="17.399999999999999" customHeight="1" x14ac:dyDescent="0.25">
      <c r="A58" s="52">
        <f t="shared" si="2"/>
        <v>14</v>
      </c>
      <c r="B58" s="52">
        <f t="shared" si="3"/>
        <v>11</v>
      </c>
      <c r="C58" s="144" t="s">
        <v>148</v>
      </c>
      <c r="D58" s="144"/>
      <c r="E58" s="52">
        <f t="shared" si="0"/>
        <v>1</v>
      </c>
      <c r="F58" s="52">
        <f t="shared" si="0"/>
        <v>8</v>
      </c>
      <c r="G58" s="52"/>
      <c r="H58" s="52">
        <f t="shared" si="1"/>
        <v>6</v>
      </c>
      <c r="I58" s="52">
        <f t="shared" si="1"/>
        <v>7</v>
      </c>
      <c r="J58" s="52">
        <f t="shared" si="1"/>
        <v>3</v>
      </c>
      <c r="K58" s="51"/>
      <c r="L58" s="51"/>
      <c r="M58" s="51"/>
      <c r="N58" s="52"/>
    </row>
    <row r="59" spans="1:14" s="46" customFormat="1" ht="17.399999999999999" customHeight="1" x14ac:dyDescent="0.25">
      <c r="A59" s="52">
        <f t="shared" si="2"/>
        <v>14</v>
      </c>
      <c r="B59" s="52">
        <f t="shared" si="3"/>
        <v>11</v>
      </c>
      <c r="C59" s="144" t="s">
        <v>177</v>
      </c>
      <c r="D59" s="144"/>
      <c r="E59" s="52">
        <f t="shared" si="0"/>
        <v>1</v>
      </c>
      <c r="F59" s="52">
        <f t="shared" si="0"/>
        <v>6</v>
      </c>
      <c r="G59" s="52"/>
      <c r="H59" s="52">
        <f t="shared" si="1"/>
        <v>8</v>
      </c>
      <c r="I59" s="52">
        <f t="shared" si="1"/>
        <v>7</v>
      </c>
      <c r="J59" s="52">
        <f t="shared" si="1"/>
        <v>3</v>
      </c>
      <c r="K59" s="51"/>
      <c r="L59" s="51"/>
      <c r="M59" s="51"/>
      <c r="N59" s="52"/>
    </row>
    <row r="60" spans="1:14" s="46" customFormat="1" ht="17.399999999999999" customHeight="1" x14ac:dyDescent="0.25">
      <c r="A60" s="52">
        <f t="shared" si="2"/>
        <v>14</v>
      </c>
      <c r="B60" s="52">
        <f t="shared" si="3"/>
        <v>13</v>
      </c>
      <c r="C60" s="144" t="s">
        <v>130</v>
      </c>
      <c r="D60" s="144"/>
      <c r="E60" s="52">
        <f t="shared" si="0"/>
        <v>6</v>
      </c>
      <c r="F60" s="52">
        <f t="shared" si="0"/>
        <v>9</v>
      </c>
      <c r="G60" s="52"/>
      <c r="H60" s="52">
        <f t="shared" si="1"/>
        <v>5</v>
      </c>
      <c r="I60" s="52">
        <f t="shared" si="1"/>
        <v>7</v>
      </c>
      <c r="J60" s="52">
        <f t="shared" si="1"/>
        <v>0</v>
      </c>
      <c r="K60" s="51"/>
      <c r="L60" s="51"/>
      <c r="M60" s="51"/>
      <c r="N60" s="52"/>
    </row>
    <row r="61" spans="1:14" s="46" customFormat="1" ht="17.399999999999999" customHeight="1" x14ac:dyDescent="0.25">
      <c r="A61" s="52">
        <f t="shared" si="2"/>
        <v>14</v>
      </c>
      <c r="B61" s="52">
        <f t="shared" si="3"/>
        <v>11</v>
      </c>
      <c r="C61" s="144" t="s">
        <v>5</v>
      </c>
      <c r="D61" s="144"/>
      <c r="E61" s="52">
        <f t="shared" si="0"/>
        <v>0</v>
      </c>
      <c r="F61" s="52">
        <f t="shared" si="0"/>
        <v>7</v>
      </c>
      <c r="G61" s="52"/>
      <c r="H61" s="52">
        <f t="shared" si="1"/>
        <v>7</v>
      </c>
      <c r="I61" s="52">
        <f t="shared" si="1"/>
        <v>7</v>
      </c>
      <c r="J61" s="52">
        <f t="shared" si="1"/>
        <v>4</v>
      </c>
      <c r="K61" s="51"/>
      <c r="L61" s="51"/>
      <c r="M61" s="51"/>
      <c r="N61" s="52"/>
    </row>
  </sheetData>
  <sortState xmlns:xlrd2="http://schemas.microsoft.com/office/spreadsheetml/2017/richdata2" ref="D56:F61">
    <sortCondition ref="D56:D61"/>
  </sortState>
  <mergeCells count="7">
    <mergeCell ref="C59:D59"/>
    <mergeCell ref="C60:D60"/>
    <mergeCell ref="C61:D61"/>
    <mergeCell ref="C56:D56"/>
    <mergeCell ref="C55:D55"/>
    <mergeCell ref="C57:D57"/>
    <mergeCell ref="C58:D58"/>
  </mergeCells>
  <pageMargins left="0.25" right="0.25" top="0.75" bottom="0.75" header="0.3" footer="0.3"/>
  <pageSetup paperSize="9" orientation="landscape" r:id="rId1"/>
  <headerFooter>
    <oddHeader>&amp;C&amp;A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EF3E2-58FF-45C0-BAAC-EE568B67BFEB}">
  <sheetPr codeName="Sheet17"/>
  <dimension ref="A1:J62"/>
  <sheetViews>
    <sheetView topLeftCell="A34" zoomScale="117" workbookViewId="0">
      <selection activeCell="A50" sqref="A50:J50"/>
    </sheetView>
  </sheetViews>
  <sheetFormatPr defaultColWidth="8.6640625" defaultRowHeight="17.399999999999999" customHeight="1" x14ac:dyDescent="0.2"/>
  <cols>
    <col min="1" max="1" width="9.5546875" style="38" customWidth="1"/>
    <col min="2" max="2" width="8.5546875" style="39" customWidth="1"/>
    <col min="3" max="3" width="7.33203125" style="40" customWidth="1"/>
    <col min="4" max="4" width="6" style="38" customWidth="1"/>
    <col min="5" max="5" width="21.33203125" style="38" customWidth="1"/>
    <col min="6" max="6" width="21" style="38" customWidth="1"/>
    <col min="7" max="7" width="3.44140625" style="38" customWidth="1"/>
    <col min="8" max="8" width="20.5546875" style="38" customWidth="1"/>
    <col min="9" max="9" width="21.5546875" style="38" customWidth="1"/>
    <col min="10" max="10" width="21.33203125" style="38" customWidth="1"/>
    <col min="11" max="16384" width="8.6640625" style="30"/>
  </cols>
  <sheetData>
    <row r="1" spans="1:10" ht="17.399999999999999" customHeight="1" x14ac:dyDescent="0.2">
      <c r="A1" s="43" t="s">
        <v>92</v>
      </c>
      <c r="B1" s="28" t="s">
        <v>6</v>
      </c>
      <c r="C1" s="29" t="s">
        <v>7</v>
      </c>
      <c r="D1" s="27" t="s">
        <v>8</v>
      </c>
      <c r="E1" s="43" t="s">
        <v>91</v>
      </c>
      <c r="F1" s="43" t="s">
        <v>10</v>
      </c>
      <c r="G1" s="43"/>
      <c r="H1" s="43" t="s">
        <v>11</v>
      </c>
      <c r="I1" s="43" t="s">
        <v>90</v>
      </c>
      <c r="J1" s="43" t="s">
        <v>99</v>
      </c>
    </row>
    <row r="2" spans="1:10" ht="17.399999999999999" customHeight="1" x14ac:dyDescent="0.2">
      <c r="A2" s="47" t="s">
        <v>14</v>
      </c>
      <c r="B2" s="32">
        <v>45866</v>
      </c>
      <c r="C2" s="33" t="s">
        <v>15</v>
      </c>
      <c r="D2" s="31" t="s">
        <v>0</v>
      </c>
      <c r="E2" s="48" t="str">
        <f>F2</f>
        <v>Mixed Bag</v>
      </c>
      <c r="F2" s="48" t="s">
        <v>168</v>
      </c>
      <c r="G2" s="48" t="s">
        <v>3</v>
      </c>
      <c r="H2" s="48" t="s">
        <v>169</v>
      </c>
      <c r="I2" s="48" t="s">
        <v>166</v>
      </c>
      <c r="J2" s="48"/>
    </row>
    <row r="3" spans="1:10" ht="17.399999999999999" customHeight="1" x14ac:dyDescent="0.2">
      <c r="A3" s="47" t="s">
        <v>14</v>
      </c>
      <c r="B3" s="32">
        <f>B2</f>
        <v>45866</v>
      </c>
      <c r="C3" s="33" t="s">
        <v>15</v>
      </c>
      <c r="D3" s="31" t="s">
        <v>1</v>
      </c>
      <c r="E3" s="48"/>
      <c r="F3" s="48" t="s">
        <v>170</v>
      </c>
      <c r="G3" s="48" t="s">
        <v>3</v>
      </c>
      <c r="H3" s="48" t="s">
        <v>167</v>
      </c>
      <c r="I3" s="48" t="str">
        <f>H4</f>
        <v>Easties 1</v>
      </c>
      <c r="J3" s="48" t="str">
        <f>H3</f>
        <v>Easties 2</v>
      </c>
    </row>
    <row r="4" spans="1:10" ht="17.399999999999999" customHeight="1" x14ac:dyDescent="0.2">
      <c r="A4" s="47" t="s">
        <v>14</v>
      </c>
      <c r="B4" s="32">
        <f>B3</f>
        <v>45866</v>
      </c>
      <c r="C4" s="33" t="s">
        <v>16</v>
      </c>
      <c r="D4" s="31" t="s">
        <v>0</v>
      </c>
      <c r="E4" s="48"/>
      <c r="F4" s="48" t="s">
        <v>174</v>
      </c>
      <c r="G4" s="48" t="s">
        <v>3</v>
      </c>
      <c r="H4" s="48" t="s">
        <v>166</v>
      </c>
      <c r="I4" s="48" t="s">
        <v>168</v>
      </c>
      <c r="J4" s="48" t="str">
        <f>H4</f>
        <v>Easties 1</v>
      </c>
    </row>
    <row r="5" spans="1:10" ht="17.399999999999999" customHeight="1" x14ac:dyDescent="0.2">
      <c r="A5" s="108" t="s">
        <v>18</v>
      </c>
      <c r="B5" s="100">
        <f>B2+7</f>
        <v>45873</v>
      </c>
      <c r="C5" s="101" t="s">
        <v>15</v>
      </c>
      <c r="D5" s="99" t="s">
        <v>0</v>
      </c>
      <c r="E5" s="50" t="str">
        <f>F5</f>
        <v>Powerpuff Girls</v>
      </c>
      <c r="F5" s="50" t="s">
        <v>174</v>
      </c>
      <c r="G5" s="50" t="s">
        <v>3</v>
      </c>
      <c r="H5" s="50" t="s">
        <v>169</v>
      </c>
      <c r="I5" s="109" t="str">
        <f>F7</f>
        <v>Easties 1</v>
      </c>
      <c r="J5" s="109"/>
    </row>
    <row r="6" spans="1:10" ht="17.399999999999999" customHeight="1" x14ac:dyDescent="0.2">
      <c r="A6" s="108" t="s">
        <v>18</v>
      </c>
      <c r="B6" s="100">
        <f>B5</f>
        <v>45873</v>
      </c>
      <c r="C6" s="101" t="s">
        <v>15</v>
      </c>
      <c r="D6" s="99" t="s">
        <v>1</v>
      </c>
      <c r="E6" s="50"/>
      <c r="F6" s="50" t="s">
        <v>167</v>
      </c>
      <c r="G6" s="50" t="s">
        <v>3</v>
      </c>
      <c r="H6" s="50" t="s">
        <v>168</v>
      </c>
      <c r="I6" s="109" t="str">
        <f>H7</f>
        <v>The Village</v>
      </c>
      <c r="J6" s="109" t="str">
        <f>H6</f>
        <v>Mixed Bag</v>
      </c>
    </row>
    <row r="7" spans="1:10" ht="17.399999999999999" customHeight="1" x14ac:dyDescent="0.2">
      <c r="A7" s="108" t="s">
        <v>18</v>
      </c>
      <c r="B7" s="100">
        <f>B6</f>
        <v>45873</v>
      </c>
      <c r="C7" s="101" t="s">
        <v>16</v>
      </c>
      <c r="D7" s="99" t="s">
        <v>0</v>
      </c>
      <c r="E7" s="50"/>
      <c r="F7" s="50" t="s">
        <v>166</v>
      </c>
      <c r="G7" s="50" t="s">
        <v>3</v>
      </c>
      <c r="H7" s="50" t="s">
        <v>170</v>
      </c>
      <c r="I7" s="109" t="str">
        <f>F6</f>
        <v>Easties 2</v>
      </c>
      <c r="J7" s="109" t="str">
        <f>F7</f>
        <v>Easties 1</v>
      </c>
    </row>
    <row r="8" spans="1:10" ht="17.399999999999999" customHeight="1" x14ac:dyDescent="0.2">
      <c r="A8" s="47" t="s">
        <v>19</v>
      </c>
      <c r="B8" s="32">
        <f>B5+7</f>
        <v>45880</v>
      </c>
      <c r="C8" s="33" t="s">
        <v>15</v>
      </c>
      <c r="D8" s="31" t="s">
        <v>0</v>
      </c>
      <c r="E8" s="48" t="str">
        <f>F8</f>
        <v>Mixed Bag</v>
      </c>
      <c r="F8" s="48" t="s">
        <v>168</v>
      </c>
      <c r="G8" s="48" t="s">
        <v>3</v>
      </c>
      <c r="H8" s="48" t="s">
        <v>174</v>
      </c>
      <c r="I8" s="48" t="str">
        <f>F10</f>
        <v>The Village</v>
      </c>
      <c r="J8" s="48"/>
    </row>
    <row r="9" spans="1:10" ht="17.399999999999999" customHeight="1" x14ac:dyDescent="0.2">
      <c r="A9" s="47" t="s">
        <v>19</v>
      </c>
      <c r="B9" s="32">
        <f>B8</f>
        <v>45880</v>
      </c>
      <c r="C9" s="33" t="s">
        <v>15</v>
      </c>
      <c r="D9" s="31" t="s">
        <v>1</v>
      </c>
      <c r="E9" s="48"/>
      <c r="F9" s="48" t="s">
        <v>166</v>
      </c>
      <c r="G9" s="48" t="s">
        <v>3</v>
      </c>
      <c r="H9" s="48" t="s">
        <v>167</v>
      </c>
      <c r="I9" s="48" t="str">
        <f>H10</f>
        <v>Juniors</v>
      </c>
      <c r="J9" s="48" t="str">
        <f>H9</f>
        <v>Easties 2</v>
      </c>
    </row>
    <row r="10" spans="1:10" ht="17.399999999999999" customHeight="1" x14ac:dyDescent="0.2">
      <c r="A10" s="47" t="s">
        <v>19</v>
      </c>
      <c r="B10" s="32">
        <f>B9</f>
        <v>45880</v>
      </c>
      <c r="C10" s="33" t="s">
        <v>16</v>
      </c>
      <c r="D10" s="31" t="s">
        <v>0</v>
      </c>
      <c r="E10" s="48"/>
      <c r="F10" s="48" t="s">
        <v>170</v>
      </c>
      <c r="G10" s="48" t="s">
        <v>3</v>
      </c>
      <c r="H10" s="48" t="s">
        <v>169</v>
      </c>
      <c r="I10" s="48" t="str">
        <f>F9</f>
        <v>Easties 1</v>
      </c>
      <c r="J10" s="48" t="str">
        <f>H10</f>
        <v>Juniors</v>
      </c>
    </row>
    <row r="11" spans="1:10" ht="17.399999999999999" customHeight="1" x14ac:dyDescent="0.2">
      <c r="A11" s="108" t="s">
        <v>20</v>
      </c>
      <c r="B11" s="100">
        <f>B8+7</f>
        <v>45887</v>
      </c>
      <c r="C11" s="101" t="s">
        <v>15</v>
      </c>
      <c r="D11" s="99" t="s">
        <v>0</v>
      </c>
      <c r="E11" s="50" t="str">
        <f>F11</f>
        <v>Juniors</v>
      </c>
      <c r="F11" s="50" t="s">
        <v>169</v>
      </c>
      <c r="G11" s="50" t="s">
        <v>3</v>
      </c>
      <c r="H11" s="50" t="s">
        <v>167</v>
      </c>
      <c r="I11" s="109" t="str">
        <f>F13</f>
        <v>Mixed Bag</v>
      </c>
      <c r="J11" s="109"/>
    </row>
    <row r="12" spans="1:10" ht="17.399999999999999" customHeight="1" x14ac:dyDescent="0.2">
      <c r="A12" s="108" t="s">
        <v>20</v>
      </c>
      <c r="B12" s="100">
        <f>B11</f>
        <v>45887</v>
      </c>
      <c r="C12" s="101" t="s">
        <v>15</v>
      </c>
      <c r="D12" s="99" t="s">
        <v>1</v>
      </c>
      <c r="E12" s="50"/>
      <c r="F12" s="50" t="s">
        <v>170</v>
      </c>
      <c r="G12" s="50" t="s">
        <v>3</v>
      </c>
      <c r="H12" s="50" t="s">
        <v>174</v>
      </c>
      <c r="I12" s="109" t="str">
        <f>H13</f>
        <v>Easties 1</v>
      </c>
      <c r="J12" s="109" t="str">
        <f>H12</f>
        <v>Powerpuff Girls</v>
      </c>
    </row>
    <row r="13" spans="1:10" s="37" customFormat="1" ht="17.399999999999999" customHeight="1" x14ac:dyDescent="0.2">
      <c r="A13" s="108" t="s">
        <v>20</v>
      </c>
      <c r="B13" s="100">
        <f>B12</f>
        <v>45887</v>
      </c>
      <c r="C13" s="101" t="s">
        <v>16</v>
      </c>
      <c r="D13" s="99" t="s">
        <v>0</v>
      </c>
      <c r="E13" s="50"/>
      <c r="F13" s="50" t="s">
        <v>168</v>
      </c>
      <c r="G13" s="50" t="s">
        <v>3</v>
      </c>
      <c r="H13" s="50" t="s">
        <v>166</v>
      </c>
      <c r="I13" s="109" t="str">
        <f>F12</f>
        <v>The Village</v>
      </c>
      <c r="J13" s="109" t="str">
        <f>H13</f>
        <v>Easties 1</v>
      </c>
    </row>
    <row r="14" spans="1:10" s="37" customFormat="1" ht="17.399999999999999" customHeight="1" x14ac:dyDescent="0.2">
      <c r="A14" s="47" t="s">
        <v>21</v>
      </c>
      <c r="B14" s="32">
        <f>B11+7</f>
        <v>45894</v>
      </c>
      <c r="C14" s="33" t="s">
        <v>15</v>
      </c>
      <c r="D14" s="31" t="s">
        <v>0</v>
      </c>
      <c r="E14" s="48" t="str">
        <f>F14</f>
        <v>Easties 2</v>
      </c>
      <c r="F14" s="48" t="s">
        <v>167</v>
      </c>
      <c r="G14" s="48" t="s">
        <v>3</v>
      </c>
      <c r="H14" s="48" t="s">
        <v>174</v>
      </c>
      <c r="I14" s="48" t="str">
        <f>F16</f>
        <v>Mixed Bag</v>
      </c>
      <c r="J14" s="48"/>
    </row>
    <row r="15" spans="1:10" s="37" customFormat="1" ht="17.399999999999999" customHeight="1" x14ac:dyDescent="0.2">
      <c r="A15" s="47" t="s">
        <v>21</v>
      </c>
      <c r="B15" s="32">
        <f>B14</f>
        <v>45894</v>
      </c>
      <c r="C15" s="33" t="s">
        <v>15</v>
      </c>
      <c r="D15" s="31" t="s">
        <v>1</v>
      </c>
      <c r="E15" s="48"/>
      <c r="F15" s="48" t="s">
        <v>166</v>
      </c>
      <c r="G15" s="48" t="s">
        <v>3</v>
      </c>
      <c r="H15" s="48" t="s">
        <v>169</v>
      </c>
      <c r="I15" s="48" t="str">
        <f>H16</f>
        <v>The Village</v>
      </c>
      <c r="J15" s="48" t="str">
        <f>H15</f>
        <v>Juniors</v>
      </c>
    </row>
    <row r="16" spans="1:10" s="37" customFormat="1" ht="17.399999999999999" customHeight="1" x14ac:dyDescent="0.2">
      <c r="A16" s="47" t="s">
        <v>21</v>
      </c>
      <c r="B16" s="32">
        <f>B15</f>
        <v>45894</v>
      </c>
      <c r="C16" s="33" t="s">
        <v>16</v>
      </c>
      <c r="D16" s="31" t="s">
        <v>0</v>
      </c>
      <c r="E16" s="48"/>
      <c r="F16" s="48" t="s">
        <v>168</v>
      </c>
      <c r="G16" s="48" t="s">
        <v>3</v>
      </c>
      <c r="H16" s="48" t="s">
        <v>170</v>
      </c>
      <c r="I16" s="48" t="str">
        <f>F15</f>
        <v>Easties 1</v>
      </c>
      <c r="J16" s="48" t="str">
        <f>H16</f>
        <v>The Village</v>
      </c>
    </row>
    <row r="17" spans="1:10" s="37" customFormat="1" ht="17.399999999999999" customHeight="1" x14ac:dyDescent="0.2">
      <c r="A17" s="108" t="s">
        <v>22</v>
      </c>
      <c r="B17" s="100">
        <f>B14+7</f>
        <v>45901</v>
      </c>
      <c r="C17" s="101" t="s">
        <v>15</v>
      </c>
      <c r="D17" s="99" t="s">
        <v>0</v>
      </c>
      <c r="E17" s="50" t="str">
        <f>F17</f>
        <v>Powerpuff Girls</v>
      </c>
      <c r="F17" s="50" t="s">
        <v>174</v>
      </c>
      <c r="G17" s="50" t="s">
        <v>3</v>
      </c>
      <c r="H17" s="50" t="s">
        <v>166</v>
      </c>
      <c r="I17" s="109" t="str">
        <f>F19</f>
        <v>The Village</v>
      </c>
      <c r="J17" s="109"/>
    </row>
    <row r="18" spans="1:10" s="37" customFormat="1" ht="17.399999999999999" customHeight="1" x14ac:dyDescent="0.2">
      <c r="A18" s="108" t="s">
        <v>22</v>
      </c>
      <c r="B18" s="100">
        <f>B17</f>
        <v>45901</v>
      </c>
      <c r="C18" s="101" t="s">
        <v>15</v>
      </c>
      <c r="D18" s="99" t="s">
        <v>1</v>
      </c>
      <c r="E18" s="50"/>
      <c r="F18" s="50" t="s">
        <v>169</v>
      </c>
      <c r="G18" s="50" t="s">
        <v>3</v>
      </c>
      <c r="H18" s="50" t="s">
        <v>168</v>
      </c>
      <c r="I18" s="109" t="str">
        <f>H19</f>
        <v>Easties 2</v>
      </c>
      <c r="J18" s="109" t="str">
        <f>H18</f>
        <v>Mixed Bag</v>
      </c>
    </row>
    <row r="19" spans="1:10" s="37" customFormat="1" ht="17.399999999999999" customHeight="1" x14ac:dyDescent="0.2">
      <c r="A19" s="108" t="s">
        <v>22</v>
      </c>
      <c r="B19" s="100">
        <f>B18</f>
        <v>45901</v>
      </c>
      <c r="C19" s="101" t="s">
        <v>16</v>
      </c>
      <c r="D19" s="99" t="s">
        <v>0</v>
      </c>
      <c r="E19" s="50"/>
      <c r="F19" s="50" t="s">
        <v>170</v>
      </c>
      <c r="G19" s="50" t="s">
        <v>3</v>
      </c>
      <c r="H19" s="50" t="s">
        <v>167</v>
      </c>
      <c r="I19" s="109" t="str">
        <f>F18</f>
        <v>Juniors</v>
      </c>
      <c r="J19" s="109" t="str">
        <f>H19</f>
        <v>Easties 2</v>
      </c>
    </row>
    <row r="20" spans="1:10" s="37" customFormat="1" ht="17.399999999999999" customHeight="1" x14ac:dyDescent="0.2">
      <c r="A20" s="47" t="s">
        <v>23</v>
      </c>
      <c r="B20" s="32">
        <f>B17+7</f>
        <v>45908</v>
      </c>
      <c r="C20" s="33" t="s">
        <v>15</v>
      </c>
      <c r="D20" s="31" t="s">
        <v>0</v>
      </c>
      <c r="E20" s="48" t="str">
        <f>F20</f>
        <v>The Village</v>
      </c>
      <c r="F20" s="48" t="s">
        <v>170</v>
      </c>
      <c r="G20" s="48" t="s">
        <v>3</v>
      </c>
      <c r="H20" s="48" t="s">
        <v>166</v>
      </c>
      <c r="I20" s="48" t="str">
        <f>F22</f>
        <v>Juniors</v>
      </c>
      <c r="J20" s="48"/>
    </row>
    <row r="21" spans="1:10" s="37" customFormat="1" ht="17.399999999999999" customHeight="1" x14ac:dyDescent="0.2">
      <c r="A21" s="47" t="s">
        <v>23</v>
      </c>
      <c r="B21" s="32">
        <f>B20</f>
        <v>45908</v>
      </c>
      <c r="C21" s="33" t="s">
        <v>15</v>
      </c>
      <c r="D21" s="31" t="s">
        <v>1</v>
      </c>
      <c r="E21" s="48"/>
      <c r="F21" s="48" t="s">
        <v>168</v>
      </c>
      <c r="G21" s="48" t="s">
        <v>3</v>
      </c>
      <c r="H21" s="48" t="s">
        <v>167</v>
      </c>
      <c r="I21" s="48" t="str">
        <f>H22</f>
        <v>Powerpuff Girls</v>
      </c>
      <c r="J21" s="48" t="str">
        <f>H21</f>
        <v>Easties 2</v>
      </c>
    </row>
    <row r="22" spans="1:10" s="37" customFormat="1" ht="17.399999999999999" customHeight="1" x14ac:dyDescent="0.2">
      <c r="A22" s="47" t="s">
        <v>23</v>
      </c>
      <c r="B22" s="32">
        <f>B21</f>
        <v>45908</v>
      </c>
      <c r="C22" s="33" t="s">
        <v>16</v>
      </c>
      <c r="D22" s="31" t="s">
        <v>0</v>
      </c>
      <c r="E22" s="48"/>
      <c r="F22" s="48" t="s">
        <v>169</v>
      </c>
      <c r="G22" s="48" t="s">
        <v>3</v>
      </c>
      <c r="H22" s="48" t="s">
        <v>174</v>
      </c>
      <c r="I22" s="48" t="str">
        <f>F21</f>
        <v>Mixed Bag</v>
      </c>
      <c r="J22" s="48" t="str">
        <f>H22</f>
        <v>Powerpuff Girls</v>
      </c>
    </row>
    <row r="23" spans="1:10" s="37" customFormat="1" ht="17.399999999999999" customHeight="1" x14ac:dyDescent="0.2">
      <c r="A23" s="108" t="s">
        <v>24</v>
      </c>
      <c r="B23" s="100">
        <f>B20+7</f>
        <v>45915</v>
      </c>
      <c r="C23" s="101" t="s">
        <v>15</v>
      </c>
      <c r="D23" s="99" t="s">
        <v>0</v>
      </c>
      <c r="E23" s="50" t="str">
        <f>F23</f>
        <v>Easties 1</v>
      </c>
      <c r="F23" s="50" t="s">
        <v>166</v>
      </c>
      <c r="G23" s="50" t="s">
        <v>3</v>
      </c>
      <c r="H23" s="50" t="s">
        <v>167</v>
      </c>
      <c r="I23" s="109" t="str">
        <f>F25</f>
        <v>Mixed Bag</v>
      </c>
      <c r="J23" s="109"/>
    </row>
    <row r="24" spans="1:10" s="37" customFormat="1" ht="17.399999999999999" customHeight="1" x14ac:dyDescent="0.2">
      <c r="A24" s="108" t="s">
        <v>24</v>
      </c>
      <c r="B24" s="100">
        <f>B23</f>
        <v>45915</v>
      </c>
      <c r="C24" s="101" t="s">
        <v>15</v>
      </c>
      <c r="D24" s="99" t="s">
        <v>1</v>
      </c>
      <c r="E24" s="50"/>
      <c r="F24" s="50" t="s">
        <v>169</v>
      </c>
      <c r="G24" s="50" t="s">
        <v>3</v>
      </c>
      <c r="H24" s="50" t="s">
        <v>170</v>
      </c>
      <c r="I24" s="109" t="str">
        <f>H25</f>
        <v>Powerpuff Girls</v>
      </c>
      <c r="J24" s="109" t="str">
        <f>H24</f>
        <v>The Village</v>
      </c>
    </row>
    <row r="25" spans="1:10" s="37" customFormat="1" ht="17.399999999999999" customHeight="1" x14ac:dyDescent="0.2">
      <c r="A25" s="108" t="s">
        <v>24</v>
      </c>
      <c r="B25" s="100">
        <f>B24</f>
        <v>45915</v>
      </c>
      <c r="C25" s="101" t="s">
        <v>16</v>
      </c>
      <c r="D25" s="99" t="s">
        <v>0</v>
      </c>
      <c r="E25" s="50"/>
      <c r="F25" s="50" t="s">
        <v>168</v>
      </c>
      <c r="G25" s="50" t="s">
        <v>3</v>
      </c>
      <c r="H25" s="50" t="s">
        <v>174</v>
      </c>
      <c r="I25" s="109" t="str">
        <f>F24</f>
        <v>Juniors</v>
      </c>
      <c r="J25" s="109" t="str">
        <f>H25</f>
        <v>Powerpuff Girls</v>
      </c>
    </row>
    <row r="26" spans="1:10" s="37" customFormat="1" ht="17.399999999999999" customHeight="1" x14ac:dyDescent="0.2">
      <c r="A26" s="43"/>
      <c r="B26" s="28">
        <f>B25+7</f>
        <v>45922</v>
      </c>
      <c r="C26" s="29"/>
      <c r="D26" s="27"/>
      <c r="E26" s="45" t="s">
        <v>158</v>
      </c>
      <c r="F26" s="45"/>
      <c r="G26" s="45"/>
      <c r="H26" s="45"/>
      <c r="I26" s="45"/>
      <c r="J26" s="45"/>
    </row>
    <row r="27" spans="1:10" s="37" customFormat="1" ht="17.399999999999999" customHeight="1" x14ac:dyDescent="0.2">
      <c r="A27" s="43"/>
      <c r="B27" s="28">
        <f>B26+7</f>
        <v>45929</v>
      </c>
      <c r="C27" s="29"/>
      <c r="D27" s="27"/>
      <c r="E27" s="45" t="s">
        <v>158</v>
      </c>
      <c r="F27" s="45"/>
      <c r="G27" s="45"/>
      <c r="H27" s="45"/>
      <c r="I27" s="45"/>
      <c r="J27" s="45"/>
    </row>
    <row r="28" spans="1:10" ht="17.399999999999999" customHeight="1" x14ac:dyDescent="0.2">
      <c r="A28" s="43" t="s">
        <v>92</v>
      </c>
      <c r="B28" s="28" t="s">
        <v>6</v>
      </c>
      <c r="C28" s="29" t="s">
        <v>7</v>
      </c>
      <c r="D28" s="27" t="s">
        <v>8</v>
      </c>
      <c r="E28" s="43" t="s">
        <v>91</v>
      </c>
      <c r="F28" s="43" t="s">
        <v>10</v>
      </c>
      <c r="G28" s="43"/>
      <c r="H28" s="43" t="s">
        <v>11</v>
      </c>
      <c r="I28" s="43" t="s">
        <v>90</v>
      </c>
      <c r="J28" s="43" t="s">
        <v>99</v>
      </c>
    </row>
    <row r="29" spans="1:10" s="37" customFormat="1" ht="17.399999999999999" customHeight="1" x14ac:dyDescent="0.2">
      <c r="A29" s="47" t="s">
        <v>26</v>
      </c>
      <c r="B29" s="32">
        <f>B27+7</f>
        <v>45936</v>
      </c>
      <c r="C29" s="33" t="s">
        <v>15</v>
      </c>
      <c r="D29" s="31" t="s">
        <v>0</v>
      </c>
      <c r="E29" s="49" t="str">
        <f>F29</f>
        <v>Mixed Bag</v>
      </c>
      <c r="F29" s="48" t="s">
        <v>168</v>
      </c>
      <c r="G29" s="48" t="s">
        <v>3</v>
      </c>
      <c r="H29" s="48" t="s">
        <v>166</v>
      </c>
      <c r="I29" s="48" t="str">
        <f>F31</f>
        <v>Powerpuff Girls</v>
      </c>
      <c r="J29" s="48"/>
    </row>
    <row r="30" spans="1:10" s="37" customFormat="1" ht="17.399999999999999" customHeight="1" x14ac:dyDescent="0.2">
      <c r="A30" s="47" t="s">
        <v>26</v>
      </c>
      <c r="B30" s="32">
        <f>B29</f>
        <v>45936</v>
      </c>
      <c r="C30" s="33" t="s">
        <v>15</v>
      </c>
      <c r="D30" s="31" t="s">
        <v>1</v>
      </c>
      <c r="E30" s="49"/>
      <c r="F30" s="48" t="s">
        <v>167</v>
      </c>
      <c r="G30" s="48" t="s">
        <v>3</v>
      </c>
      <c r="H30" s="48" t="s">
        <v>169</v>
      </c>
      <c r="I30" s="48" t="str">
        <f>H31</f>
        <v>The Village</v>
      </c>
      <c r="J30" s="48" t="str">
        <f>H30</f>
        <v>Juniors</v>
      </c>
    </row>
    <row r="31" spans="1:10" s="37" customFormat="1" ht="17.399999999999999" customHeight="1" x14ac:dyDescent="0.2">
      <c r="A31" s="47" t="s">
        <v>26</v>
      </c>
      <c r="B31" s="32">
        <f>B30</f>
        <v>45936</v>
      </c>
      <c r="C31" s="33" t="s">
        <v>16</v>
      </c>
      <c r="D31" s="31" t="s">
        <v>0</v>
      </c>
      <c r="E31" s="49"/>
      <c r="F31" s="48" t="s">
        <v>174</v>
      </c>
      <c r="G31" s="48" t="s">
        <v>3</v>
      </c>
      <c r="H31" s="48" t="s">
        <v>170</v>
      </c>
      <c r="I31" s="48" t="str">
        <f>F30</f>
        <v>Easties 2</v>
      </c>
      <c r="J31" s="48" t="str">
        <f>H31</f>
        <v>The Village</v>
      </c>
    </row>
    <row r="32" spans="1:10" s="37" customFormat="1" ht="17.399999999999999" customHeight="1" x14ac:dyDescent="0.2">
      <c r="A32" s="108" t="s">
        <v>27</v>
      </c>
      <c r="B32" s="100">
        <f>B29+7</f>
        <v>45943</v>
      </c>
      <c r="C32" s="101" t="s">
        <v>15</v>
      </c>
      <c r="D32" s="99" t="s">
        <v>0</v>
      </c>
      <c r="E32" s="50" t="str">
        <f>F32</f>
        <v>Juniors</v>
      </c>
      <c r="F32" s="50" t="s">
        <v>169</v>
      </c>
      <c r="G32" s="50" t="s">
        <v>3</v>
      </c>
      <c r="H32" s="50" t="s">
        <v>166</v>
      </c>
      <c r="I32" s="109" t="str">
        <f>F34</f>
        <v>Easties 2</v>
      </c>
      <c r="J32" s="109"/>
    </row>
    <row r="33" spans="1:10" s="37" customFormat="1" ht="17.399999999999999" customHeight="1" x14ac:dyDescent="0.2">
      <c r="A33" s="108" t="s">
        <v>27</v>
      </c>
      <c r="B33" s="100">
        <f>B32</f>
        <v>45943</v>
      </c>
      <c r="C33" s="101" t="s">
        <v>15</v>
      </c>
      <c r="D33" s="99" t="s">
        <v>1</v>
      </c>
      <c r="E33" s="50"/>
      <c r="F33" s="50" t="s">
        <v>168</v>
      </c>
      <c r="G33" s="50" t="s">
        <v>3</v>
      </c>
      <c r="H33" s="50" t="s">
        <v>170</v>
      </c>
      <c r="I33" s="109" t="str">
        <f>H34</f>
        <v>Powerpuff Girls</v>
      </c>
      <c r="J33" s="109" t="str">
        <f>H33</f>
        <v>The Village</v>
      </c>
    </row>
    <row r="34" spans="1:10" s="37" customFormat="1" ht="17.399999999999999" customHeight="1" x14ac:dyDescent="0.2">
      <c r="A34" s="108" t="s">
        <v>27</v>
      </c>
      <c r="B34" s="100">
        <f>B33</f>
        <v>45943</v>
      </c>
      <c r="C34" s="101" t="s">
        <v>16</v>
      </c>
      <c r="D34" s="99" t="s">
        <v>0</v>
      </c>
      <c r="E34" s="50"/>
      <c r="F34" s="50" t="s">
        <v>167</v>
      </c>
      <c r="G34" s="50" t="s">
        <v>3</v>
      </c>
      <c r="H34" s="50" t="s">
        <v>174</v>
      </c>
      <c r="I34" s="109" t="str">
        <f>F33</f>
        <v>Mixed Bag</v>
      </c>
      <c r="J34" s="109" t="str">
        <f>H34</f>
        <v>Powerpuff Girls</v>
      </c>
    </row>
    <row r="35" spans="1:10" s="37" customFormat="1" ht="17.399999999999999" customHeight="1" x14ac:dyDescent="0.2">
      <c r="A35" s="47" t="s">
        <v>28</v>
      </c>
      <c r="B35" s="32">
        <f>B32+7</f>
        <v>45950</v>
      </c>
      <c r="C35" s="33" t="s">
        <v>15</v>
      </c>
      <c r="D35" s="31" t="s">
        <v>0</v>
      </c>
      <c r="E35" s="49" t="str">
        <f>F35</f>
        <v>The Village</v>
      </c>
      <c r="F35" s="48" t="s">
        <v>170</v>
      </c>
      <c r="G35" s="48" t="s">
        <v>3</v>
      </c>
      <c r="H35" s="48" t="s">
        <v>167</v>
      </c>
      <c r="I35" s="48" t="str">
        <f>F37</f>
        <v>Mixed Bag</v>
      </c>
      <c r="J35" s="48"/>
    </row>
    <row r="36" spans="1:10" s="37" customFormat="1" ht="17.399999999999999" customHeight="1" x14ac:dyDescent="0.2">
      <c r="A36" s="47" t="s">
        <v>28</v>
      </c>
      <c r="B36" s="32">
        <f>B35</f>
        <v>45950</v>
      </c>
      <c r="C36" s="33" t="s">
        <v>15</v>
      </c>
      <c r="D36" s="31" t="s">
        <v>1</v>
      </c>
      <c r="E36" s="49"/>
      <c r="F36" s="48" t="s">
        <v>166</v>
      </c>
      <c r="G36" s="48" t="s">
        <v>3</v>
      </c>
      <c r="H36" s="48" t="s">
        <v>174</v>
      </c>
      <c r="I36" s="48" t="str">
        <f>H37</f>
        <v>Juniors</v>
      </c>
      <c r="J36" s="48" t="str">
        <f>H36</f>
        <v>Powerpuff Girls</v>
      </c>
    </row>
    <row r="37" spans="1:10" s="37" customFormat="1" ht="17.399999999999999" customHeight="1" x14ac:dyDescent="0.2">
      <c r="A37" s="47" t="s">
        <v>28</v>
      </c>
      <c r="B37" s="32">
        <f>B36</f>
        <v>45950</v>
      </c>
      <c r="C37" s="33" t="s">
        <v>16</v>
      </c>
      <c r="D37" s="31" t="s">
        <v>0</v>
      </c>
      <c r="E37" s="49"/>
      <c r="F37" s="48" t="s">
        <v>168</v>
      </c>
      <c r="G37" s="48" t="s">
        <v>3</v>
      </c>
      <c r="H37" s="48" t="s">
        <v>169</v>
      </c>
      <c r="I37" s="48" t="str">
        <f>F36</f>
        <v>Easties 1</v>
      </c>
      <c r="J37" s="48" t="str">
        <f>H37</f>
        <v>Juniors</v>
      </c>
    </row>
    <row r="38" spans="1:10" s="37" customFormat="1" ht="17.399999999999999" customHeight="1" x14ac:dyDescent="0.2">
      <c r="A38" s="108" t="s">
        <v>29</v>
      </c>
      <c r="B38" s="100">
        <f>B35+7</f>
        <v>45957</v>
      </c>
      <c r="C38" s="101" t="s">
        <v>15</v>
      </c>
      <c r="D38" s="99" t="s">
        <v>0</v>
      </c>
      <c r="E38" s="50" t="str">
        <f>F38</f>
        <v>Easties 1</v>
      </c>
      <c r="F38" s="50" t="s">
        <v>166</v>
      </c>
      <c r="G38" s="50" t="s">
        <v>3</v>
      </c>
      <c r="H38" s="50" t="s">
        <v>170</v>
      </c>
      <c r="I38" s="109" t="str">
        <f>F40</f>
        <v>Powerpuff Girls</v>
      </c>
      <c r="J38" s="109"/>
    </row>
    <row r="39" spans="1:10" s="37" customFormat="1" ht="17.399999999999999" customHeight="1" x14ac:dyDescent="0.2">
      <c r="A39" s="108" t="s">
        <v>29</v>
      </c>
      <c r="B39" s="100">
        <f>B38</f>
        <v>45957</v>
      </c>
      <c r="C39" s="101" t="s">
        <v>15</v>
      </c>
      <c r="D39" s="99" t="s">
        <v>1</v>
      </c>
      <c r="E39" s="50"/>
      <c r="F39" s="50" t="s">
        <v>167</v>
      </c>
      <c r="G39" s="50" t="s">
        <v>3</v>
      </c>
      <c r="H39" s="50" t="s">
        <v>168</v>
      </c>
      <c r="I39" s="109" t="str">
        <f>H40</f>
        <v>Juniors</v>
      </c>
      <c r="J39" s="109" t="str">
        <f>H39</f>
        <v>Mixed Bag</v>
      </c>
    </row>
    <row r="40" spans="1:10" s="37" customFormat="1" ht="17.399999999999999" customHeight="1" x14ac:dyDescent="0.2">
      <c r="A40" s="108" t="s">
        <v>29</v>
      </c>
      <c r="B40" s="100">
        <f>B39</f>
        <v>45957</v>
      </c>
      <c r="C40" s="101" t="s">
        <v>16</v>
      </c>
      <c r="D40" s="99" t="s">
        <v>0</v>
      </c>
      <c r="E40" s="50"/>
      <c r="F40" s="50" t="s">
        <v>174</v>
      </c>
      <c r="G40" s="50" t="s">
        <v>3</v>
      </c>
      <c r="H40" s="50" t="s">
        <v>169</v>
      </c>
      <c r="I40" s="109" t="str">
        <f>F39</f>
        <v>Easties 2</v>
      </c>
      <c r="J40" s="109" t="str">
        <f>H40</f>
        <v>Juniors</v>
      </c>
    </row>
    <row r="41" spans="1:10" s="37" customFormat="1" ht="17.399999999999999" customHeight="1" x14ac:dyDescent="0.2">
      <c r="A41" s="47" t="s">
        <v>30</v>
      </c>
      <c r="B41" s="124">
        <f>B38+7</f>
        <v>45964</v>
      </c>
      <c r="C41" s="33" t="s">
        <v>15</v>
      </c>
      <c r="D41" s="31" t="s">
        <v>0</v>
      </c>
      <c r="E41" s="49" t="str">
        <f>F41</f>
        <v>The Village</v>
      </c>
      <c r="F41" s="48" t="s">
        <v>170</v>
      </c>
      <c r="G41" s="48" t="s">
        <v>3</v>
      </c>
      <c r="H41" s="48" t="s">
        <v>169</v>
      </c>
      <c r="I41" s="48" t="str">
        <f>F43</f>
        <v>Easties 1</v>
      </c>
      <c r="J41" s="48"/>
    </row>
    <row r="42" spans="1:10" s="37" customFormat="1" ht="17.399999999999999" customHeight="1" x14ac:dyDescent="0.2">
      <c r="A42" s="47" t="s">
        <v>30</v>
      </c>
      <c r="B42" s="124">
        <f>B41</f>
        <v>45964</v>
      </c>
      <c r="C42" s="33" t="s">
        <v>15</v>
      </c>
      <c r="D42" s="31" t="s">
        <v>1</v>
      </c>
      <c r="E42" s="49"/>
      <c r="F42" s="48" t="s">
        <v>168</v>
      </c>
      <c r="G42" s="48" t="s">
        <v>3</v>
      </c>
      <c r="H42" s="48" t="s">
        <v>174</v>
      </c>
      <c r="I42" s="48" t="str">
        <f>H43</f>
        <v>Easties 2</v>
      </c>
      <c r="J42" s="48" t="str">
        <f>H42</f>
        <v>Powerpuff Girls</v>
      </c>
    </row>
    <row r="43" spans="1:10" s="37" customFormat="1" ht="17.399999999999999" customHeight="1" x14ac:dyDescent="0.2">
      <c r="A43" s="47" t="s">
        <v>30</v>
      </c>
      <c r="B43" s="124">
        <f>B42</f>
        <v>45964</v>
      </c>
      <c r="C43" s="33" t="s">
        <v>16</v>
      </c>
      <c r="D43" s="31" t="s">
        <v>0</v>
      </c>
      <c r="E43" s="49"/>
      <c r="F43" s="48" t="s">
        <v>166</v>
      </c>
      <c r="G43" s="48" t="s">
        <v>3</v>
      </c>
      <c r="H43" s="48" t="s">
        <v>167</v>
      </c>
      <c r="I43" s="48" t="str">
        <f>F42</f>
        <v>Mixed Bag</v>
      </c>
      <c r="J43" s="48" t="str">
        <f>H43</f>
        <v>Easties 2</v>
      </c>
    </row>
    <row r="44" spans="1:10" s="37" customFormat="1" ht="17.399999999999999" customHeight="1" x14ac:dyDescent="0.2">
      <c r="A44" s="108" t="s">
        <v>31</v>
      </c>
      <c r="B44" s="100">
        <f>B41+7</f>
        <v>45971</v>
      </c>
      <c r="C44" s="101" t="s">
        <v>15</v>
      </c>
      <c r="D44" s="99" t="s">
        <v>0</v>
      </c>
      <c r="E44" s="50" t="str">
        <f>F44</f>
        <v>Easties 1</v>
      </c>
      <c r="F44" s="109" t="s">
        <v>166</v>
      </c>
      <c r="G44" s="109" t="s">
        <v>3</v>
      </c>
      <c r="H44" s="109" t="s">
        <v>168</v>
      </c>
      <c r="I44" s="109" t="str">
        <f>F46</f>
        <v>Powerpuff Girls</v>
      </c>
      <c r="J44" s="109"/>
    </row>
    <row r="45" spans="1:10" s="37" customFormat="1" ht="17.399999999999999" customHeight="1" x14ac:dyDescent="0.2">
      <c r="A45" s="108" t="s">
        <v>31</v>
      </c>
      <c r="B45" s="100">
        <f>B44</f>
        <v>45971</v>
      </c>
      <c r="C45" s="101" t="s">
        <v>15</v>
      </c>
      <c r="D45" s="99" t="s">
        <v>1</v>
      </c>
      <c r="E45" s="50"/>
      <c r="F45" s="109" t="s">
        <v>167</v>
      </c>
      <c r="G45" s="109" t="s">
        <v>3</v>
      </c>
      <c r="H45" s="109" t="s">
        <v>169</v>
      </c>
      <c r="I45" s="109" t="str">
        <f>H46</f>
        <v>The Village</v>
      </c>
      <c r="J45" s="109" t="str">
        <f>H45</f>
        <v>Juniors</v>
      </c>
    </row>
    <row r="46" spans="1:10" s="37" customFormat="1" ht="17.399999999999999" customHeight="1" x14ac:dyDescent="0.2">
      <c r="A46" s="108" t="s">
        <v>31</v>
      </c>
      <c r="B46" s="100">
        <f>B45</f>
        <v>45971</v>
      </c>
      <c r="C46" s="101" t="s">
        <v>16</v>
      </c>
      <c r="D46" s="99" t="s">
        <v>0</v>
      </c>
      <c r="E46" s="50"/>
      <c r="F46" s="109" t="s">
        <v>174</v>
      </c>
      <c r="G46" s="109" t="s">
        <v>3</v>
      </c>
      <c r="H46" s="109" t="s">
        <v>170</v>
      </c>
      <c r="I46" s="109" t="str">
        <f>F45</f>
        <v>Easties 2</v>
      </c>
      <c r="J46" s="109" t="str">
        <f>H46</f>
        <v>The Village</v>
      </c>
    </row>
    <row r="47" spans="1:10" ht="17.399999999999999" customHeight="1" x14ac:dyDescent="0.2">
      <c r="A47" s="146" t="s">
        <v>103</v>
      </c>
      <c r="B47" s="28">
        <f>B44+7</f>
        <v>45978</v>
      </c>
      <c r="C47" s="29" t="s">
        <v>15</v>
      </c>
      <c r="D47" s="27" t="s">
        <v>0</v>
      </c>
      <c r="E47" s="43" t="str">
        <f>F47</f>
        <v>Mixed Bag</v>
      </c>
      <c r="F47" s="43" t="s">
        <v>168</v>
      </c>
      <c r="G47" s="43" t="s">
        <v>3</v>
      </c>
      <c r="H47" s="43" t="s">
        <v>167</v>
      </c>
      <c r="I47" s="43" t="str">
        <f>F48</f>
        <v>Powerpuff Girls</v>
      </c>
      <c r="J47" s="43"/>
    </row>
    <row r="48" spans="1:10" ht="17.399999999999999" customHeight="1" x14ac:dyDescent="0.2">
      <c r="A48" s="146"/>
      <c r="B48" s="28">
        <f>B47</f>
        <v>45978</v>
      </c>
      <c r="C48" s="29" t="s">
        <v>15</v>
      </c>
      <c r="D48" s="27" t="s">
        <v>1</v>
      </c>
      <c r="E48" s="43"/>
      <c r="F48" s="43" t="s">
        <v>174</v>
      </c>
      <c r="G48" s="43" t="s">
        <v>3</v>
      </c>
      <c r="H48" s="43" t="s">
        <v>170</v>
      </c>
      <c r="I48" s="43" t="str">
        <f>H47</f>
        <v>Easties 2</v>
      </c>
      <c r="J48" s="43" t="str">
        <f>H48</f>
        <v>The Village</v>
      </c>
    </row>
    <row r="49" spans="1:10" ht="17.399999999999999" customHeight="1" x14ac:dyDescent="0.2">
      <c r="A49" s="43" t="s">
        <v>104</v>
      </c>
      <c r="B49" s="28">
        <f>B48+7</f>
        <v>45985</v>
      </c>
      <c r="C49" s="29" t="s">
        <v>15</v>
      </c>
      <c r="D49" s="27" t="s">
        <v>0</v>
      </c>
      <c r="E49" s="43" t="str">
        <f>F49</f>
        <v>Easties 2</v>
      </c>
      <c r="F49" s="43" t="s">
        <v>167</v>
      </c>
      <c r="G49" s="43" t="s">
        <v>3</v>
      </c>
      <c r="H49" s="43" t="s">
        <v>170</v>
      </c>
      <c r="I49" s="43" t="str">
        <f>F50</f>
        <v>Mixed Bag</v>
      </c>
      <c r="J49" s="43" t="str">
        <f>H49</f>
        <v>The Village</v>
      </c>
    </row>
    <row r="50" spans="1:10" ht="17.399999999999999" customHeight="1" x14ac:dyDescent="0.2">
      <c r="A50" s="43" t="s">
        <v>105</v>
      </c>
      <c r="B50" s="136">
        <v>45994</v>
      </c>
      <c r="C50" s="29" t="s">
        <v>15</v>
      </c>
      <c r="D50" s="27" t="s">
        <v>62</v>
      </c>
      <c r="E50" s="43" t="str">
        <f>F50</f>
        <v>Mixed Bag</v>
      </c>
      <c r="F50" s="43" t="s">
        <v>168</v>
      </c>
      <c r="G50" s="43" t="s">
        <v>3</v>
      </c>
      <c r="H50" s="43" t="s">
        <v>167</v>
      </c>
      <c r="I50" s="43" t="s">
        <v>250</v>
      </c>
      <c r="J50" s="43" t="str">
        <f>H50</f>
        <v>Easties 2</v>
      </c>
    </row>
    <row r="55" spans="1:10" ht="17.399999999999999" customHeight="1" x14ac:dyDescent="0.2">
      <c r="A55" s="22" t="s">
        <v>89</v>
      </c>
      <c r="B55" s="22" t="s">
        <v>66</v>
      </c>
      <c r="C55" s="11"/>
      <c r="D55" s="121" t="s">
        <v>134</v>
      </c>
      <c r="E55" s="11" t="s">
        <v>63</v>
      </c>
      <c r="F55" s="11" t="s">
        <v>10</v>
      </c>
      <c r="G55" s="11"/>
      <c r="H55" s="11" t="s">
        <v>11</v>
      </c>
      <c r="I55" s="11" t="s">
        <v>64</v>
      </c>
      <c r="J55" s="11" t="s">
        <v>65</v>
      </c>
    </row>
    <row r="56" spans="1:10" ht="17.399999999999999" customHeight="1" x14ac:dyDescent="0.2">
      <c r="A56" s="52">
        <f>F56+H56</f>
        <v>14</v>
      </c>
      <c r="B56" s="52">
        <f>E56+I56+J56</f>
        <v>14</v>
      </c>
      <c r="C56" s="52"/>
      <c r="D56" s="120" t="s">
        <v>168</v>
      </c>
      <c r="E56" s="52">
        <f t="shared" ref="E56:F62" si="0">COUNTIF(E$1:E$46,$D56)</f>
        <v>3</v>
      </c>
      <c r="F56" s="52">
        <f t="shared" si="0"/>
        <v>10</v>
      </c>
      <c r="G56" s="52"/>
      <c r="H56" s="52">
        <f t="shared" ref="H56:J62" si="1">COUNTIF(H$1:H$46,$D56)</f>
        <v>4</v>
      </c>
      <c r="I56" s="52">
        <f t="shared" si="1"/>
        <v>8</v>
      </c>
      <c r="J56" s="52">
        <f t="shared" si="1"/>
        <v>3</v>
      </c>
    </row>
    <row r="57" spans="1:10" ht="17.399999999999999" customHeight="1" x14ac:dyDescent="0.2">
      <c r="A57" s="52">
        <f t="shared" ref="A57:A62" si="2">F57+H57</f>
        <v>14</v>
      </c>
      <c r="B57" s="52">
        <f t="shared" ref="B57:B62" si="3">E57+I57+J57</f>
        <v>13</v>
      </c>
      <c r="C57" s="52"/>
      <c r="D57" s="120" t="s">
        <v>167</v>
      </c>
      <c r="E57" s="52">
        <f t="shared" si="0"/>
        <v>1</v>
      </c>
      <c r="F57" s="52">
        <f t="shared" si="0"/>
        <v>6</v>
      </c>
      <c r="G57" s="52"/>
      <c r="H57" s="52">
        <f t="shared" si="1"/>
        <v>8</v>
      </c>
      <c r="I57" s="52">
        <f t="shared" si="1"/>
        <v>7</v>
      </c>
      <c r="J57" s="52">
        <f t="shared" si="1"/>
        <v>5</v>
      </c>
    </row>
    <row r="58" spans="1:10" ht="17.399999999999999" customHeight="1" x14ac:dyDescent="0.2">
      <c r="A58" s="52">
        <f t="shared" si="2"/>
        <v>0</v>
      </c>
      <c r="B58" s="52">
        <f t="shared" si="3"/>
        <v>0</v>
      </c>
      <c r="C58" s="52"/>
      <c r="D58" s="120" t="s">
        <v>175</v>
      </c>
      <c r="E58" s="52">
        <f t="shared" si="0"/>
        <v>0</v>
      </c>
      <c r="F58" s="52">
        <f t="shared" si="0"/>
        <v>0</v>
      </c>
      <c r="G58" s="52"/>
      <c r="H58" s="52">
        <f t="shared" si="1"/>
        <v>0</v>
      </c>
      <c r="I58" s="52">
        <f t="shared" si="1"/>
        <v>0</v>
      </c>
      <c r="J58" s="52">
        <f t="shared" si="1"/>
        <v>0</v>
      </c>
    </row>
    <row r="59" spans="1:10" ht="17.399999999999999" customHeight="1" x14ac:dyDescent="0.2">
      <c r="A59" s="52">
        <f t="shared" si="2"/>
        <v>14</v>
      </c>
      <c r="B59" s="52">
        <f t="shared" si="3"/>
        <v>14</v>
      </c>
      <c r="C59" s="52"/>
      <c r="D59" s="120" t="s">
        <v>166</v>
      </c>
      <c r="E59" s="52">
        <f t="shared" si="0"/>
        <v>3</v>
      </c>
      <c r="F59" s="52">
        <f t="shared" si="0"/>
        <v>8</v>
      </c>
      <c r="G59" s="52"/>
      <c r="H59" s="52">
        <f t="shared" si="1"/>
        <v>6</v>
      </c>
      <c r="I59" s="52">
        <f t="shared" si="1"/>
        <v>8</v>
      </c>
      <c r="J59" s="52">
        <f t="shared" si="1"/>
        <v>3</v>
      </c>
    </row>
    <row r="60" spans="1:10" ht="17.399999999999999" customHeight="1" x14ac:dyDescent="0.2">
      <c r="A60" s="52">
        <f t="shared" si="2"/>
        <v>14</v>
      </c>
      <c r="B60" s="52">
        <f t="shared" si="3"/>
        <v>14</v>
      </c>
      <c r="C60" s="52"/>
      <c r="D60" s="120" t="s">
        <v>169</v>
      </c>
      <c r="E60" s="52">
        <f t="shared" si="0"/>
        <v>2</v>
      </c>
      <c r="F60" s="52">
        <f t="shared" si="0"/>
        <v>5</v>
      </c>
      <c r="G60" s="52"/>
      <c r="H60" s="52">
        <f t="shared" si="1"/>
        <v>9</v>
      </c>
      <c r="I60" s="52">
        <f t="shared" si="1"/>
        <v>6</v>
      </c>
      <c r="J60" s="52">
        <f t="shared" si="1"/>
        <v>6</v>
      </c>
    </row>
    <row r="61" spans="1:10" ht="17.399999999999999" customHeight="1" x14ac:dyDescent="0.2">
      <c r="A61" s="52">
        <f t="shared" si="2"/>
        <v>14</v>
      </c>
      <c r="B61" s="52">
        <f t="shared" si="3"/>
        <v>15</v>
      </c>
      <c r="C61" s="52"/>
      <c r="D61" s="120" t="s">
        <v>170</v>
      </c>
      <c r="E61" s="52">
        <f t="shared" si="0"/>
        <v>3</v>
      </c>
      <c r="F61" s="52">
        <f t="shared" si="0"/>
        <v>7</v>
      </c>
      <c r="G61" s="52"/>
      <c r="H61" s="52">
        <f t="shared" si="1"/>
        <v>7</v>
      </c>
      <c r="I61" s="52">
        <f t="shared" si="1"/>
        <v>7</v>
      </c>
      <c r="J61" s="52">
        <f t="shared" si="1"/>
        <v>5</v>
      </c>
    </row>
    <row r="62" spans="1:10" ht="17.399999999999999" customHeight="1" x14ac:dyDescent="0.2">
      <c r="A62" s="52">
        <f t="shared" si="2"/>
        <v>14</v>
      </c>
      <c r="B62" s="52">
        <f t="shared" si="3"/>
        <v>14</v>
      </c>
      <c r="D62" s="120" t="s">
        <v>174</v>
      </c>
      <c r="E62" s="52">
        <f t="shared" si="0"/>
        <v>2</v>
      </c>
      <c r="F62" s="52">
        <f t="shared" si="0"/>
        <v>6</v>
      </c>
      <c r="G62" s="52"/>
      <c r="H62" s="52">
        <f t="shared" si="1"/>
        <v>8</v>
      </c>
      <c r="I62" s="52">
        <f t="shared" si="1"/>
        <v>6</v>
      </c>
      <c r="J62" s="52">
        <f t="shared" si="1"/>
        <v>6</v>
      </c>
    </row>
  </sheetData>
  <mergeCells count="1">
    <mergeCell ref="A47:A48"/>
  </mergeCells>
  <pageMargins left="0.23622047244094491" right="0.23622047244094491" top="0.74803149606299213" bottom="0.74803149606299213" header="0.31496062992125984" footer="0.31496062992125984"/>
  <pageSetup paperSize="9" orientation="landscape" r:id="rId1"/>
  <headerFooter>
    <oddHeader>&amp;C&amp;A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1CEFE-8B41-4AA3-B6AB-D35EC35ACF12}">
  <sheetPr codeName="Sheet13"/>
  <dimension ref="A1:P33"/>
  <sheetViews>
    <sheetView topLeftCell="A11" workbookViewId="0">
      <selection activeCell="I26" sqref="I26"/>
    </sheetView>
  </sheetViews>
  <sheetFormatPr defaultColWidth="8.6640625" defaultRowHeight="18.600000000000001" customHeight="1" x14ac:dyDescent="0.3"/>
  <cols>
    <col min="1" max="1" width="8.88671875" style="52" customWidth="1"/>
    <col min="2" max="2" width="10.77734375" style="52" customWidth="1"/>
    <col min="3" max="4" width="7.6640625" style="52" customWidth="1"/>
    <col min="5" max="5" width="19.44140625" style="52" customWidth="1"/>
    <col min="6" max="6" width="19.33203125" style="52" customWidth="1"/>
    <col min="7" max="7" width="4.33203125" style="52" customWidth="1"/>
    <col min="8" max="10" width="19.33203125" style="52" customWidth="1"/>
    <col min="11" max="12" width="8.6640625" style="52"/>
    <col min="13" max="13" width="8.33203125" style="52" customWidth="1"/>
    <col min="14" max="15" width="8.6640625" style="52"/>
    <col min="16" max="16" width="13.44140625" style="52" bestFit="1" customWidth="1"/>
    <col min="17" max="16384" width="8.6640625" style="52"/>
  </cols>
  <sheetData>
    <row r="1" spans="1:16" ht="18.600000000000001" customHeight="1" x14ac:dyDescent="0.3">
      <c r="A1" s="43" t="s">
        <v>92</v>
      </c>
      <c r="B1" s="44" t="s">
        <v>6</v>
      </c>
      <c r="C1" s="45" t="s">
        <v>7</v>
      </c>
      <c r="D1" s="43" t="s">
        <v>8</v>
      </c>
      <c r="E1" s="43" t="s">
        <v>91</v>
      </c>
      <c r="F1" s="43" t="s">
        <v>10</v>
      </c>
      <c r="G1" s="43"/>
      <c r="H1" s="43" t="s">
        <v>11</v>
      </c>
      <c r="I1" s="43" t="s">
        <v>90</v>
      </c>
      <c r="J1" s="43" t="s">
        <v>99</v>
      </c>
    </row>
    <row r="2" spans="1:16" ht="18.600000000000001" customHeight="1" x14ac:dyDescent="0.3">
      <c r="A2" s="47" t="s">
        <v>14</v>
      </c>
      <c r="B2" s="48">
        <v>45943</v>
      </c>
      <c r="C2" s="49" t="s">
        <v>16</v>
      </c>
      <c r="D2" s="48" t="s">
        <v>1</v>
      </c>
      <c r="E2" s="48" t="str">
        <f>F2</f>
        <v>Flying Fijians</v>
      </c>
      <c r="F2" s="48" t="s">
        <v>277</v>
      </c>
      <c r="G2" s="48" t="s">
        <v>3</v>
      </c>
      <c r="H2" s="48" t="s">
        <v>278</v>
      </c>
      <c r="I2" s="48" t="str">
        <f>F3</f>
        <v>Ballz Deeper</v>
      </c>
      <c r="J2" s="48"/>
      <c r="O2" s="47" t="s">
        <v>10</v>
      </c>
      <c r="P2" s="47" t="s">
        <v>280</v>
      </c>
    </row>
    <row r="3" spans="1:16" ht="18.600000000000001" customHeight="1" x14ac:dyDescent="0.3">
      <c r="A3" s="47" t="s">
        <v>14</v>
      </c>
      <c r="B3" s="48">
        <f>B2</f>
        <v>45943</v>
      </c>
      <c r="C3" s="49" t="s">
        <v>16</v>
      </c>
      <c r="D3" s="48" t="s">
        <v>2</v>
      </c>
      <c r="E3" s="48"/>
      <c r="F3" s="48" t="s">
        <v>279</v>
      </c>
      <c r="G3" s="48" t="s">
        <v>3</v>
      </c>
      <c r="H3" s="48" t="s">
        <v>276</v>
      </c>
      <c r="I3" s="48" t="str">
        <f>H2</f>
        <v>TBD</v>
      </c>
      <c r="J3" s="48" t="str">
        <f>H3</f>
        <v>Dishwash</v>
      </c>
      <c r="O3" s="47" t="s">
        <v>11</v>
      </c>
      <c r="P3" s="47" t="s">
        <v>276</v>
      </c>
    </row>
    <row r="4" spans="1:16" ht="18.600000000000001" customHeight="1" x14ac:dyDescent="0.3">
      <c r="A4" s="47" t="s">
        <v>14</v>
      </c>
      <c r="B4" s="48">
        <f>B3</f>
        <v>45943</v>
      </c>
      <c r="C4" s="49" t="s">
        <v>171</v>
      </c>
      <c r="D4" s="48"/>
      <c r="E4" s="48"/>
      <c r="F4" s="48" t="s">
        <v>280</v>
      </c>
      <c r="G4" s="48"/>
      <c r="H4" s="48"/>
      <c r="I4" s="48"/>
      <c r="J4" s="48"/>
      <c r="O4" s="47" t="s">
        <v>281</v>
      </c>
      <c r="P4" s="47" t="s">
        <v>277</v>
      </c>
    </row>
    <row r="5" spans="1:16" ht="18.600000000000001" customHeight="1" x14ac:dyDescent="0.3">
      <c r="A5" s="79" t="s">
        <v>18</v>
      </c>
      <c r="B5" s="78">
        <f>B2+7</f>
        <v>45950</v>
      </c>
      <c r="C5" s="77" t="s">
        <v>15</v>
      </c>
      <c r="D5" s="77" t="s">
        <v>0</v>
      </c>
      <c r="E5" s="78" t="str">
        <f>F5</f>
        <v>Serves You Right</v>
      </c>
      <c r="F5" s="77" t="s">
        <v>280</v>
      </c>
      <c r="G5" s="77" t="s">
        <v>3</v>
      </c>
      <c r="H5" s="77" t="s">
        <v>279</v>
      </c>
      <c r="I5" s="78" t="str">
        <f>F6</f>
        <v>Dishwash</v>
      </c>
      <c r="J5" s="77"/>
      <c r="O5" s="47" t="s">
        <v>282</v>
      </c>
      <c r="P5" s="47" t="s">
        <v>278</v>
      </c>
    </row>
    <row r="6" spans="1:16" ht="18.600000000000001" customHeight="1" x14ac:dyDescent="0.3">
      <c r="A6" s="79" t="s">
        <v>18</v>
      </c>
      <c r="B6" s="78">
        <f>B5</f>
        <v>45950</v>
      </c>
      <c r="C6" s="77" t="s">
        <v>16</v>
      </c>
      <c r="D6" s="77" t="s">
        <v>1</v>
      </c>
      <c r="E6" s="78"/>
      <c r="F6" s="77" t="s">
        <v>276</v>
      </c>
      <c r="G6" s="77" t="s">
        <v>3</v>
      </c>
      <c r="H6" s="77" t="s">
        <v>277</v>
      </c>
      <c r="I6" s="78" t="str">
        <f>H5</f>
        <v>Ballz Deeper</v>
      </c>
      <c r="J6" s="78" t="str">
        <f>H6</f>
        <v>Flying Fijians</v>
      </c>
      <c r="O6" s="47" t="s">
        <v>283</v>
      </c>
      <c r="P6" s="47" t="s">
        <v>279</v>
      </c>
    </row>
    <row r="7" spans="1:16" ht="18.600000000000001" customHeight="1" x14ac:dyDescent="0.3">
      <c r="A7" s="79" t="s">
        <v>18</v>
      </c>
      <c r="B7" s="78">
        <f>B6</f>
        <v>45950</v>
      </c>
      <c r="C7" s="77" t="s">
        <v>171</v>
      </c>
      <c r="D7" s="77"/>
      <c r="E7" s="78"/>
      <c r="F7" s="77" t="s">
        <v>278</v>
      </c>
      <c r="G7" s="77"/>
      <c r="H7" s="77"/>
      <c r="I7" s="78"/>
      <c r="J7" s="77"/>
    </row>
    <row r="8" spans="1:16" ht="18.600000000000001" customHeight="1" x14ac:dyDescent="0.3">
      <c r="A8" s="47" t="s">
        <v>19</v>
      </c>
      <c r="B8" s="48">
        <f>B5+7</f>
        <v>45957</v>
      </c>
      <c r="C8" s="49" t="s">
        <v>15</v>
      </c>
      <c r="D8" s="48" t="s">
        <v>2</v>
      </c>
      <c r="E8" s="48" t="str">
        <f t="shared" ref="E8" si="0">F8</f>
        <v>Dishwash</v>
      </c>
      <c r="F8" s="48" t="s">
        <v>276</v>
      </c>
      <c r="G8" s="48" t="s">
        <v>3</v>
      </c>
      <c r="H8" s="48" t="s">
        <v>278</v>
      </c>
      <c r="I8" s="48" t="str">
        <f>F9</f>
        <v>Serves You Right</v>
      </c>
      <c r="J8" s="48"/>
    </row>
    <row r="9" spans="1:16" ht="18.600000000000001" customHeight="1" x14ac:dyDescent="0.3">
      <c r="A9" s="47" t="s">
        <v>19</v>
      </c>
      <c r="B9" s="48">
        <f>B8</f>
        <v>45957</v>
      </c>
      <c r="C9" s="49" t="s">
        <v>16</v>
      </c>
      <c r="D9" s="48" t="s">
        <v>2</v>
      </c>
      <c r="E9" s="48"/>
      <c r="F9" s="48" t="s">
        <v>280</v>
      </c>
      <c r="G9" s="48" t="s">
        <v>3</v>
      </c>
      <c r="H9" s="48" t="s">
        <v>277</v>
      </c>
      <c r="I9" s="48" t="str">
        <f>H8</f>
        <v>TBD</v>
      </c>
      <c r="J9" s="48" t="s">
        <v>276</v>
      </c>
    </row>
    <row r="10" spans="1:16" ht="18.600000000000001" customHeight="1" x14ac:dyDescent="0.3">
      <c r="A10" s="47" t="s">
        <v>19</v>
      </c>
      <c r="B10" s="48">
        <f>B9</f>
        <v>45957</v>
      </c>
      <c r="C10" s="49" t="s">
        <v>171</v>
      </c>
      <c r="D10" s="48"/>
      <c r="E10" s="48"/>
      <c r="F10" s="48" t="s">
        <v>279</v>
      </c>
      <c r="G10" s="48"/>
      <c r="H10" s="48"/>
      <c r="I10" s="48"/>
      <c r="J10" s="48"/>
    </row>
    <row r="11" spans="1:16" ht="18.600000000000001" customHeight="1" x14ac:dyDescent="0.25">
      <c r="A11" s="79" t="s">
        <v>20</v>
      </c>
      <c r="B11" s="78">
        <f>B8+7</f>
        <v>45964</v>
      </c>
      <c r="C11" s="77" t="s">
        <v>15</v>
      </c>
      <c r="D11" s="77" t="s">
        <v>0</v>
      </c>
      <c r="E11" s="78" t="str">
        <f t="shared" ref="E11" si="1">F11</f>
        <v>Flying Fijians</v>
      </c>
      <c r="F11" s="77" t="s">
        <v>277</v>
      </c>
      <c r="G11" s="77" t="s">
        <v>3</v>
      </c>
      <c r="H11" s="77" t="s">
        <v>279</v>
      </c>
      <c r="I11" s="78" t="str">
        <f t="shared" ref="I11" si="2">F12</f>
        <v>TBD</v>
      </c>
      <c r="J11" s="77"/>
      <c r="L11" s="51"/>
      <c r="M11" s="51"/>
    </row>
    <row r="12" spans="1:16" ht="18.600000000000001" customHeight="1" x14ac:dyDescent="0.3">
      <c r="A12" s="79" t="s">
        <v>20</v>
      </c>
      <c r="B12" s="78">
        <f>B11</f>
        <v>45964</v>
      </c>
      <c r="C12" s="77" t="s">
        <v>16</v>
      </c>
      <c r="D12" s="77" t="s">
        <v>1</v>
      </c>
      <c r="E12" s="78"/>
      <c r="F12" s="77" t="s">
        <v>278</v>
      </c>
      <c r="G12" s="77" t="s">
        <v>3</v>
      </c>
      <c r="H12" s="77" t="s">
        <v>280</v>
      </c>
      <c r="I12" s="78" t="str">
        <f t="shared" ref="I12" si="3">H11</f>
        <v>Ballz Deeper</v>
      </c>
      <c r="J12" s="78" t="str">
        <f>H12</f>
        <v>Serves You Right</v>
      </c>
    </row>
    <row r="13" spans="1:16" ht="18.600000000000001" customHeight="1" x14ac:dyDescent="0.3">
      <c r="A13" s="79" t="s">
        <v>20</v>
      </c>
      <c r="B13" s="78">
        <f>B12</f>
        <v>45964</v>
      </c>
      <c r="C13" s="77" t="s">
        <v>171</v>
      </c>
      <c r="D13" s="77"/>
      <c r="E13" s="78"/>
      <c r="F13" s="77" t="s">
        <v>276</v>
      </c>
      <c r="G13" s="77"/>
      <c r="H13" s="77"/>
      <c r="I13" s="78"/>
      <c r="J13" s="77"/>
    </row>
    <row r="14" spans="1:16" ht="18.600000000000001" customHeight="1" x14ac:dyDescent="0.3">
      <c r="A14" s="47" t="s">
        <v>21</v>
      </c>
      <c r="B14" s="48">
        <f>B11+7</f>
        <v>45971</v>
      </c>
      <c r="C14" s="49" t="s">
        <v>15</v>
      </c>
      <c r="D14" s="48" t="s">
        <v>2</v>
      </c>
      <c r="E14" s="48" t="str">
        <f t="shared" ref="E14" si="4">F14</f>
        <v>Ballz Deeper</v>
      </c>
      <c r="F14" s="48" t="s">
        <v>279</v>
      </c>
      <c r="G14" s="48" t="s">
        <v>3</v>
      </c>
      <c r="H14" s="48" t="s">
        <v>278</v>
      </c>
      <c r="I14" s="48" t="str">
        <f t="shared" ref="I14" si="5">F15</f>
        <v>Serves You Right</v>
      </c>
      <c r="J14" s="48"/>
    </row>
    <row r="15" spans="1:16" ht="18.600000000000001" customHeight="1" x14ac:dyDescent="0.3">
      <c r="A15" s="47" t="s">
        <v>21</v>
      </c>
      <c r="B15" s="48">
        <f>B14</f>
        <v>45971</v>
      </c>
      <c r="C15" s="49" t="s">
        <v>16</v>
      </c>
      <c r="D15" s="48" t="s">
        <v>2</v>
      </c>
      <c r="E15" s="48"/>
      <c r="F15" s="48" t="s">
        <v>280</v>
      </c>
      <c r="G15" s="48" t="s">
        <v>3</v>
      </c>
      <c r="H15" s="48" t="s">
        <v>276</v>
      </c>
      <c r="I15" s="48" t="str">
        <f t="shared" ref="I15" si="6">H14</f>
        <v>TBD</v>
      </c>
      <c r="J15" s="48" t="str">
        <f>H15</f>
        <v>Dishwash</v>
      </c>
    </row>
    <row r="16" spans="1:16" ht="18.600000000000001" customHeight="1" x14ac:dyDescent="0.3">
      <c r="A16" s="47" t="s">
        <v>21</v>
      </c>
      <c r="B16" s="48">
        <f>B15</f>
        <v>45971</v>
      </c>
      <c r="C16" s="49" t="s">
        <v>171</v>
      </c>
      <c r="D16" s="48"/>
      <c r="E16" s="48"/>
      <c r="F16" s="48" t="s">
        <v>277</v>
      </c>
      <c r="G16" s="48"/>
      <c r="H16" s="48"/>
      <c r="I16" s="48"/>
      <c r="J16" s="48"/>
    </row>
    <row r="17" spans="1:13" ht="18.600000000000001" customHeight="1" x14ac:dyDescent="0.3">
      <c r="A17" s="79" t="s">
        <v>22</v>
      </c>
      <c r="B17" s="78">
        <f>B14+7</f>
        <v>45978</v>
      </c>
      <c r="C17" s="77" t="s">
        <v>15</v>
      </c>
      <c r="D17" s="77" t="s">
        <v>0</v>
      </c>
      <c r="E17" s="78" t="str">
        <f t="shared" ref="E17" si="7">F17</f>
        <v>TBD</v>
      </c>
      <c r="F17" s="77" t="s">
        <v>278</v>
      </c>
      <c r="G17" s="77" t="s">
        <v>3</v>
      </c>
      <c r="H17" s="77" t="s">
        <v>277</v>
      </c>
      <c r="I17" s="78" t="str">
        <f t="shared" ref="I17" si="8">F18</f>
        <v>Dishwash</v>
      </c>
      <c r="J17" s="77"/>
    </row>
    <row r="18" spans="1:13" ht="18.600000000000001" customHeight="1" x14ac:dyDescent="0.3">
      <c r="A18" s="79" t="s">
        <v>22</v>
      </c>
      <c r="B18" s="78">
        <f>B17</f>
        <v>45978</v>
      </c>
      <c r="C18" s="77" t="s">
        <v>16</v>
      </c>
      <c r="D18" s="77" t="s">
        <v>1</v>
      </c>
      <c r="E18" s="78"/>
      <c r="F18" s="77" t="s">
        <v>276</v>
      </c>
      <c r="G18" s="77" t="s">
        <v>3</v>
      </c>
      <c r="H18" s="77" t="s">
        <v>279</v>
      </c>
      <c r="I18" s="78" t="str">
        <f t="shared" ref="I18" si="9">H17</f>
        <v>Flying Fijians</v>
      </c>
      <c r="J18" s="78" t="str">
        <f>H18</f>
        <v>Ballz Deeper</v>
      </c>
    </row>
    <row r="19" spans="1:13" ht="18.600000000000001" customHeight="1" x14ac:dyDescent="0.3">
      <c r="A19" s="79" t="s">
        <v>22</v>
      </c>
      <c r="B19" s="78">
        <f>B18</f>
        <v>45978</v>
      </c>
      <c r="C19" s="77" t="s">
        <v>171</v>
      </c>
      <c r="D19" s="77"/>
      <c r="E19" s="78"/>
      <c r="F19" s="77" t="s">
        <v>280</v>
      </c>
      <c r="G19" s="77"/>
      <c r="H19" s="77"/>
      <c r="I19" s="78"/>
      <c r="J19" s="77"/>
    </row>
    <row r="20" spans="1:13" ht="18.600000000000001" customHeight="1" x14ac:dyDescent="0.25">
      <c r="A20" s="47" t="s">
        <v>23</v>
      </c>
      <c r="B20" s="48">
        <f>B17+7</f>
        <v>45985</v>
      </c>
      <c r="C20" s="49" t="s">
        <v>15</v>
      </c>
      <c r="D20" s="48" t="s">
        <v>2</v>
      </c>
      <c r="E20" s="48" t="str">
        <f t="shared" ref="E20" si="10">F20</f>
        <v>Ballz Deeper</v>
      </c>
      <c r="F20" s="48" t="s">
        <v>279</v>
      </c>
      <c r="G20" s="48" t="s">
        <v>3</v>
      </c>
      <c r="H20" s="48" t="s">
        <v>280</v>
      </c>
      <c r="I20" s="48" t="str">
        <f t="shared" ref="I20" si="11">F21</f>
        <v>Flying Fijians</v>
      </c>
      <c r="J20" s="48"/>
      <c r="L20" s="46"/>
      <c r="M20" s="46"/>
    </row>
    <row r="21" spans="1:13" ht="18.600000000000001" customHeight="1" x14ac:dyDescent="0.25">
      <c r="A21" s="47" t="s">
        <v>23</v>
      </c>
      <c r="B21" s="48">
        <f>B20</f>
        <v>45985</v>
      </c>
      <c r="C21" s="49" t="s">
        <v>16</v>
      </c>
      <c r="D21" s="48" t="s">
        <v>2</v>
      </c>
      <c r="E21" s="48"/>
      <c r="F21" s="48" t="s">
        <v>277</v>
      </c>
      <c r="G21" s="48" t="s">
        <v>3</v>
      </c>
      <c r="H21" s="48" t="s">
        <v>276</v>
      </c>
      <c r="I21" s="48" t="str">
        <f t="shared" ref="I21" si="12">H20</f>
        <v>Serves You Right</v>
      </c>
      <c r="J21" s="48" t="s">
        <v>276</v>
      </c>
      <c r="L21" s="46"/>
      <c r="M21" s="46"/>
    </row>
    <row r="22" spans="1:13" ht="18.600000000000001" customHeight="1" x14ac:dyDescent="0.3">
      <c r="A22" s="47" t="s">
        <v>23</v>
      </c>
      <c r="B22" s="48">
        <f>B21</f>
        <v>45985</v>
      </c>
      <c r="C22" s="49" t="s">
        <v>171</v>
      </c>
      <c r="D22" s="48"/>
      <c r="E22" s="48"/>
      <c r="F22" s="48" t="s">
        <v>278</v>
      </c>
      <c r="G22" s="48"/>
      <c r="H22" s="48"/>
      <c r="I22" s="48"/>
      <c r="J22" s="48"/>
    </row>
    <row r="23" spans="1:13" ht="18.600000000000001" customHeight="1" x14ac:dyDescent="0.3">
      <c r="A23" s="79" t="s">
        <v>24</v>
      </c>
      <c r="B23" s="78">
        <f>B20+7</f>
        <v>45992</v>
      </c>
      <c r="C23" s="77" t="s">
        <v>15</v>
      </c>
      <c r="D23" s="77" t="s">
        <v>0</v>
      </c>
      <c r="E23" s="78" t="str">
        <f t="shared" ref="E23" si="13">F23</f>
        <v>TBD</v>
      </c>
      <c r="F23" s="77" t="s">
        <v>278</v>
      </c>
      <c r="G23" s="77" t="s">
        <v>3</v>
      </c>
      <c r="H23" s="77" t="s">
        <v>276</v>
      </c>
      <c r="I23" s="78" t="str">
        <f t="shared" ref="I23" si="14">F24</f>
        <v>Flying Fijians</v>
      </c>
      <c r="J23" s="77"/>
    </row>
    <row r="24" spans="1:13" ht="18.600000000000001" customHeight="1" x14ac:dyDescent="0.3">
      <c r="A24" s="79" t="s">
        <v>24</v>
      </c>
      <c r="B24" s="78">
        <f>B23</f>
        <v>45992</v>
      </c>
      <c r="C24" s="77" t="s">
        <v>16</v>
      </c>
      <c r="D24" s="77" t="s">
        <v>1</v>
      </c>
      <c r="E24" s="78"/>
      <c r="F24" s="77" t="s">
        <v>277</v>
      </c>
      <c r="G24" s="77" t="s">
        <v>3</v>
      </c>
      <c r="H24" s="77" t="s">
        <v>280</v>
      </c>
      <c r="I24" s="78" t="str">
        <f t="shared" ref="I24" si="15">H23</f>
        <v>Dishwash</v>
      </c>
      <c r="J24" s="78" t="str">
        <f>H24</f>
        <v>Serves You Right</v>
      </c>
    </row>
    <row r="25" spans="1:13" ht="18.600000000000001" customHeight="1" x14ac:dyDescent="0.3">
      <c r="A25" s="79" t="s">
        <v>24</v>
      </c>
      <c r="B25" s="78">
        <f>B24</f>
        <v>45992</v>
      </c>
      <c r="C25" s="77" t="s">
        <v>171</v>
      </c>
      <c r="D25" s="77"/>
      <c r="E25" s="78"/>
      <c r="F25" s="77" t="s">
        <v>279</v>
      </c>
      <c r="G25" s="77"/>
      <c r="H25" s="77"/>
      <c r="I25" s="78"/>
      <c r="J25" s="77"/>
    </row>
    <row r="26" spans="1:13" ht="18.600000000000001" customHeight="1" x14ac:dyDescent="0.3">
      <c r="A26" s="43" t="s">
        <v>105</v>
      </c>
      <c r="B26" s="44" t="s">
        <v>275</v>
      </c>
      <c r="C26" s="45" t="s">
        <v>15</v>
      </c>
      <c r="D26" s="43" t="s">
        <v>0</v>
      </c>
      <c r="E26" s="43" t="str">
        <f>F26</f>
        <v>Serves You Right</v>
      </c>
      <c r="F26" s="43" t="s">
        <v>280</v>
      </c>
      <c r="G26" s="43" t="s">
        <v>3</v>
      </c>
      <c r="H26" s="43" t="s">
        <v>279</v>
      </c>
      <c r="I26" s="43" t="s">
        <v>298</v>
      </c>
      <c r="J26" s="43" t="str">
        <f>H26</f>
        <v>Ballz Deeper</v>
      </c>
    </row>
    <row r="27" spans="1:13" ht="18.600000000000001" customHeight="1" x14ac:dyDescent="0.3">
      <c r="B27" s="53"/>
      <c r="C27" s="54"/>
    </row>
    <row r="28" spans="1:13" ht="18.600000000000001" customHeight="1" x14ac:dyDescent="0.3">
      <c r="A28" s="22" t="s">
        <v>89</v>
      </c>
      <c r="B28" s="22" t="s">
        <v>66</v>
      </c>
      <c r="C28" s="11"/>
      <c r="D28" s="126" t="s">
        <v>134</v>
      </c>
      <c r="E28" s="11" t="s">
        <v>63</v>
      </c>
      <c r="F28" s="11" t="s">
        <v>10</v>
      </c>
      <c r="G28" s="11"/>
      <c r="H28" s="11" t="s">
        <v>11</v>
      </c>
      <c r="I28" s="11" t="s">
        <v>64</v>
      </c>
      <c r="J28" s="11" t="s">
        <v>65</v>
      </c>
    </row>
    <row r="29" spans="1:13" ht="18.600000000000001" customHeight="1" x14ac:dyDescent="0.3">
      <c r="A29" s="52">
        <f>F29+H29</f>
        <v>8</v>
      </c>
      <c r="B29" s="52">
        <f>E29+I29+J29</f>
        <v>6</v>
      </c>
      <c r="D29" s="125" t="s">
        <v>280</v>
      </c>
      <c r="E29" s="52">
        <f t="shared" ref="E29:F33" si="16">COUNTIF(E$1:E$25,$D29)</f>
        <v>1</v>
      </c>
      <c r="F29" s="52">
        <f t="shared" si="16"/>
        <v>5</v>
      </c>
      <c r="H29" s="52">
        <f t="shared" ref="H29:J33" si="17">COUNTIF(H$1:H$25,$D29)</f>
        <v>3</v>
      </c>
      <c r="I29" s="52">
        <f t="shared" si="17"/>
        <v>3</v>
      </c>
      <c r="J29" s="52">
        <f t="shared" si="17"/>
        <v>2</v>
      </c>
    </row>
    <row r="30" spans="1:13" ht="18.600000000000001" customHeight="1" x14ac:dyDescent="0.3">
      <c r="A30" s="52">
        <f t="shared" ref="A30:A33" si="18">F30+H30</f>
        <v>8</v>
      </c>
      <c r="B30" s="52">
        <f t="shared" ref="B30:B33" si="19">E30+I30+J30</f>
        <v>8</v>
      </c>
      <c r="D30" s="125" t="s">
        <v>276</v>
      </c>
      <c r="E30" s="52">
        <f t="shared" si="16"/>
        <v>1</v>
      </c>
      <c r="F30" s="52">
        <f t="shared" si="16"/>
        <v>4</v>
      </c>
      <c r="H30" s="52">
        <f t="shared" si="17"/>
        <v>4</v>
      </c>
      <c r="I30" s="52">
        <f t="shared" si="17"/>
        <v>3</v>
      </c>
      <c r="J30" s="52">
        <f t="shared" si="17"/>
        <v>4</v>
      </c>
    </row>
    <row r="31" spans="1:13" ht="18.600000000000001" customHeight="1" x14ac:dyDescent="0.3">
      <c r="A31" s="52">
        <f t="shared" si="18"/>
        <v>8</v>
      </c>
      <c r="B31" s="52">
        <f t="shared" si="19"/>
        <v>6</v>
      </c>
      <c r="D31" s="125" t="s">
        <v>277</v>
      </c>
      <c r="E31" s="52">
        <f t="shared" si="16"/>
        <v>2</v>
      </c>
      <c r="F31" s="52">
        <f t="shared" si="16"/>
        <v>5</v>
      </c>
      <c r="H31" s="52">
        <f t="shared" si="17"/>
        <v>3</v>
      </c>
      <c r="I31" s="52">
        <f t="shared" si="17"/>
        <v>3</v>
      </c>
      <c r="J31" s="52">
        <f t="shared" si="17"/>
        <v>1</v>
      </c>
    </row>
    <row r="32" spans="1:13" ht="18.600000000000001" customHeight="1" x14ac:dyDescent="0.3">
      <c r="A32" s="52">
        <f t="shared" si="18"/>
        <v>8</v>
      </c>
      <c r="B32" s="52">
        <f t="shared" si="19"/>
        <v>6</v>
      </c>
      <c r="D32" s="125" t="s">
        <v>278</v>
      </c>
      <c r="E32" s="52">
        <f t="shared" si="16"/>
        <v>2</v>
      </c>
      <c r="F32" s="52">
        <f t="shared" si="16"/>
        <v>5</v>
      </c>
      <c r="H32" s="52">
        <f t="shared" si="17"/>
        <v>3</v>
      </c>
      <c r="I32" s="52">
        <f t="shared" si="17"/>
        <v>4</v>
      </c>
      <c r="J32" s="52">
        <f t="shared" si="17"/>
        <v>0</v>
      </c>
    </row>
    <row r="33" spans="1:10" ht="18.600000000000001" customHeight="1" x14ac:dyDescent="0.3">
      <c r="A33" s="52">
        <f t="shared" si="18"/>
        <v>8</v>
      </c>
      <c r="B33" s="52">
        <f t="shared" si="19"/>
        <v>6</v>
      </c>
      <c r="D33" s="125" t="s">
        <v>279</v>
      </c>
      <c r="E33" s="52">
        <f t="shared" si="16"/>
        <v>2</v>
      </c>
      <c r="F33" s="52">
        <f t="shared" si="16"/>
        <v>5</v>
      </c>
      <c r="H33" s="52">
        <f t="shared" si="17"/>
        <v>3</v>
      </c>
      <c r="I33" s="52">
        <f t="shared" si="17"/>
        <v>3</v>
      </c>
      <c r="J33" s="52">
        <f t="shared" si="17"/>
        <v>1</v>
      </c>
    </row>
  </sheetData>
  <pageMargins left="0.62992125984251968" right="0.23622047244094491" top="0.74803149606299213" bottom="0.74803149606299213" header="0.31496062992125984" footer="0.31496062992125984"/>
  <pageSetup paperSize="9" orientation="landscape" r:id="rId1"/>
  <headerFooter>
    <oddHeader>&amp;C&amp;A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2A751-40C8-400F-87BC-7BE61A287EA4}">
  <sheetPr codeName="Sheet11"/>
  <dimension ref="A1:J62"/>
  <sheetViews>
    <sheetView topLeftCell="A31" zoomScale="117" workbookViewId="0">
      <selection activeCell="F47" sqref="F47"/>
    </sheetView>
  </sheetViews>
  <sheetFormatPr defaultColWidth="8.6640625" defaultRowHeight="17.399999999999999" customHeight="1" x14ac:dyDescent="0.2"/>
  <cols>
    <col min="1" max="1" width="9.5546875" style="38" customWidth="1"/>
    <col min="2" max="2" width="8.5546875" style="39" customWidth="1"/>
    <col min="3" max="3" width="7.33203125" style="40" customWidth="1"/>
    <col min="4" max="4" width="6" style="38" customWidth="1"/>
    <col min="5" max="5" width="21.33203125" style="38" customWidth="1"/>
    <col min="6" max="6" width="21" style="38" customWidth="1"/>
    <col min="7" max="7" width="3.44140625" style="38" customWidth="1"/>
    <col min="8" max="8" width="20.5546875" style="38" customWidth="1"/>
    <col min="9" max="9" width="21.5546875" style="38" customWidth="1"/>
    <col min="10" max="10" width="21.33203125" style="38" customWidth="1"/>
    <col min="11" max="16384" width="8.6640625" style="30"/>
  </cols>
  <sheetData>
    <row r="1" spans="1:10" ht="17.399999999999999" customHeight="1" x14ac:dyDescent="0.2">
      <c r="A1" s="27" t="s">
        <v>92</v>
      </c>
      <c r="B1" s="28" t="s">
        <v>6</v>
      </c>
      <c r="C1" s="29" t="s">
        <v>7</v>
      </c>
      <c r="D1" s="27" t="s">
        <v>8</v>
      </c>
      <c r="E1" s="27" t="s">
        <v>91</v>
      </c>
      <c r="F1" s="27" t="s">
        <v>10</v>
      </c>
      <c r="G1" s="27"/>
      <c r="H1" s="27" t="s">
        <v>11</v>
      </c>
      <c r="I1" s="27" t="s">
        <v>90</v>
      </c>
      <c r="J1" s="27" t="s">
        <v>99</v>
      </c>
    </row>
    <row r="2" spans="1:10" ht="17.399999999999999" customHeight="1" x14ac:dyDescent="0.2">
      <c r="A2" s="31" t="s">
        <v>14</v>
      </c>
      <c r="B2" s="32">
        <v>45866</v>
      </c>
      <c r="C2" s="33" t="s">
        <v>15</v>
      </c>
      <c r="D2" s="31" t="s">
        <v>0</v>
      </c>
      <c r="E2" s="31" t="str">
        <f t="shared" ref="E2:E7" si="0">F2</f>
        <v>Mixed Bag</v>
      </c>
      <c r="F2" s="31" t="s">
        <v>168</v>
      </c>
      <c r="G2" s="31" t="s">
        <v>3</v>
      </c>
      <c r="H2" s="31" t="s">
        <v>169</v>
      </c>
      <c r="I2" s="31" t="s">
        <v>166</v>
      </c>
      <c r="J2" s="31" t="str">
        <f t="shared" ref="J2:J25" si="1">H2</f>
        <v>Juniors</v>
      </c>
    </row>
    <row r="3" spans="1:10" ht="17.399999999999999" customHeight="1" x14ac:dyDescent="0.2">
      <c r="A3" s="31" t="str">
        <f>A2</f>
        <v>Round 1</v>
      </c>
      <c r="B3" s="32">
        <f>B2</f>
        <v>45866</v>
      </c>
      <c r="C3" s="33" t="s">
        <v>15</v>
      </c>
      <c r="D3" s="31" t="s">
        <v>1</v>
      </c>
      <c r="E3" s="31" t="str">
        <f t="shared" si="0"/>
        <v>The Village</v>
      </c>
      <c r="F3" s="31" t="s">
        <v>170</v>
      </c>
      <c r="G3" s="31" t="s">
        <v>3</v>
      </c>
      <c r="H3" s="31" t="s">
        <v>167</v>
      </c>
      <c r="I3" s="31" t="s">
        <v>166</v>
      </c>
      <c r="J3" s="31" t="str">
        <f t="shared" si="1"/>
        <v>Easties 2</v>
      </c>
    </row>
    <row r="4" spans="1:10" ht="17.399999999999999" customHeight="1" x14ac:dyDescent="0.2">
      <c r="A4" s="31" t="str">
        <f>A3</f>
        <v>Round 1</v>
      </c>
      <c r="B4" s="32">
        <f>B3</f>
        <v>45866</v>
      </c>
      <c r="C4" s="33" t="s">
        <v>15</v>
      </c>
      <c r="D4" s="31" t="s">
        <v>2</v>
      </c>
      <c r="E4" s="31" t="str">
        <f t="shared" si="0"/>
        <v>Powerpuff Girls</v>
      </c>
      <c r="F4" s="31" t="s">
        <v>174</v>
      </c>
      <c r="G4" s="31" t="s">
        <v>3</v>
      </c>
      <c r="H4" s="31" t="s">
        <v>175</v>
      </c>
      <c r="I4" s="31" t="s">
        <v>166</v>
      </c>
      <c r="J4" s="31" t="str">
        <f t="shared" si="1"/>
        <v>Bull Bashers</v>
      </c>
    </row>
    <row r="5" spans="1:10" ht="17.399999999999999" customHeight="1" x14ac:dyDescent="0.2">
      <c r="A5" s="99" t="s">
        <v>18</v>
      </c>
      <c r="B5" s="100">
        <f>B2+7</f>
        <v>45873</v>
      </c>
      <c r="C5" s="101" t="s">
        <v>15</v>
      </c>
      <c r="D5" s="99" t="s">
        <v>0</v>
      </c>
      <c r="E5" s="99" t="str">
        <f t="shared" si="0"/>
        <v>Easties 1</v>
      </c>
      <c r="F5" s="99" t="s">
        <v>166</v>
      </c>
      <c r="G5" s="99" t="s">
        <v>3</v>
      </c>
      <c r="H5" s="99" t="s">
        <v>167</v>
      </c>
      <c r="I5" s="99" t="s">
        <v>168</v>
      </c>
      <c r="J5" s="99" t="str">
        <f t="shared" si="1"/>
        <v>Easties 2</v>
      </c>
    </row>
    <row r="6" spans="1:10" ht="17.399999999999999" customHeight="1" x14ac:dyDescent="0.2">
      <c r="A6" s="99" t="str">
        <f>A5</f>
        <v>Round 2</v>
      </c>
      <c r="B6" s="100">
        <f>B5</f>
        <v>45873</v>
      </c>
      <c r="C6" s="101" t="s">
        <v>15</v>
      </c>
      <c r="D6" s="99" t="s">
        <v>1</v>
      </c>
      <c r="E6" s="99" t="str">
        <f t="shared" si="0"/>
        <v>Juniors</v>
      </c>
      <c r="F6" s="99" t="s">
        <v>169</v>
      </c>
      <c r="G6" s="99" t="s">
        <v>3</v>
      </c>
      <c r="H6" s="99" t="s">
        <v>174</v>
      </c>
      <c r="I6" s="99" t="s">
        <v>168</v>
      </c>
      <c r="J6" s="99" t="str">
        <f t="shared" si="1"/>
        <v>Powerpuff Girls</v>
      </c>
    </row>
    <row r="7" spans="1:10" ht="17.399999999999999" customHeight="1" x14ac:dyDescent="0.2">
      <c r="A7" s="99" t="str">
        <f>A6</f>
        <v>Round 2</v>
      </c>
      <c r="B7" s="100">
        <f>B6</f>
        <v>45873</v>
      </c>
      <c r="C7" s="101" t="s">
        <v>15</v>
      </c>
      <c r="D7" s="99" t="s">
        <v>2</v>
      </c>
      <c r="E7" s="99" t="str">
        <f t="shared" si="0"/>
        <v>The Village</v>
      </c>
      <c r="F7" s="99" t="s">
        <v>170</v>
      </c>
      <c r="G7" s="99" t="s">
        <v>3</v>
      </c>
      <c r="H7" s="99" t="s">
        <v>175</v>
      </c>
      <c r="I7" s="99" t="s">
        <v>168</v>
      </c>
      <c r="J7" s="99" t="str">
        <f t="shared" si="1"/>
        <v>Bull Bashers</v>
      </c>
    </row>
    <row r="8" spans="1:10" ht="17.399999999999999" customHeight="1" x14ac:dyDescent="0.2">
      <c r="A8" s="31" t="s">
        <v>19</v>
      </c>
      <c r="B8" s="32">
        <f>B5+7</f>
        <v>45880</v>
      </c>
      <c r="C8" s="33" t="s">
        <v>15</v>
      </c>
      <c r="D8" s="31" t="s">
        <v>0</v>
      </c>
      <c r="E8" s="31" t="str">
        <f t="shared" ref="E8:E25" si="2">F8</f>
        <v>Powerpuff Girls</v>
      </c>
      <c r="F8" s="31" t="s">
        <v>174</v>
      </c>
      <c r="G8" s="31" t="s">
        <v>3</v>
      </c>
      <c r="H8" s="31" t="s">
        <v>168</v>
      </c>
      <c r="I8" s="31" t="s">
        <v>167</v>
      </c>
      <c r="J8" s="31" t="str">
        <f t="shared" si="1"/>
        <v>Mixed Bag</v>
      </c>
    </row>
    <row r="9" spans="1:10" ht="17.399999999999999" customHeight="1" x14ac:dyDescent="0.2">
      <c r="A9" s="31" t="str">
        <f>A8</f>
        <v>Round 3</v>
      </c>
      <c r="B9" s="32">
        <f>B8</f>
        <v>45880</v>
      </c>
      <c r="C9" s="33" t="s">
        <v>15</v>
      </c>
      <c r="D9" s="31" t="s">
        <v>1</v>
      </c>
      <c r="E9" s="31" t="str">
        <f t="shared" si="2"/>
        <v>Bull Bashers</v>
      </c>
      <c r="F9" s="31" t="s">
        <v>175</v>
      </c>
      <c r="G9" s="31" t="s">
        <v>3</v>
      </c>
      <c r="H9" s="31" t="s">
        <v>166</v>
      </c>
      <c r="I9" s="31" t="s">
        <v>167</v>
      </c>
      <c r="J9" s="31" t="str">
        <f t="shared" si="1"/>
        <v>Easties 1</v>
      </c>
    </row>
    <row r="10" spans="1:10" ht="17.399999999999999" customHeight="1" x14ac:dyDescent="0.2">
      <c r="A10" s="31" t="str">
        <f>A9</f>
        <v>Round 3</v>
      </c>
      <c r="B10" s="32">
        <f>B9</f>
        <v>45880</v>
      </c>
      <c r="C10" s="33" t="s">
        <v>15</v>
      </c>
      <c r="D10" s="31" t="s">
        <v>2</v>
      </c>
      <c r="E10" s="31" t="str">
        <f t="shared" si="2"/>
        <v>Juniors</v>
      </c>
      <c r="F10" s="31" t="s">
        <v>169</v>
      </c>
      <c r="G10" s="31" t="s">
        <v>3</v>
      </c>
      <c r="H10" s="31" t="s">
        <v>170</v>
      </c>
      <c r="I10" s="31" t="s">
        <v>167</v>
      </c>
      <c r="J10" s="31" t="str">
        <f t="shared" si="1"/>
        <v>The Village</v>
      </c>
    </row>
    <row r="11" spans="1:10" ht="17.399999999999999" customHeight="1" x14ac:dyDescent="0.2">
      <c r="A11" s="99" t="s">
        <v>20</v>
      </c>
      <c r="B11" s="100">
        <f>B8+7</f>
        <v>45887</v>
      </c>
      <c r="C11" s="101" t="s">
        <v>15</v>
      </c>
      <c r="D11" s="99" t="s">
        <v>0</v>
      </c>
      <c r="E11" s="99" t="str">
        <f t="shared" si="2"/>
        <v>Bull Bashers</v>
      </c>
      <c r="F11" s="99" t="s">
        <v>175</v>
      </c>
      <c r="G11" s="99" t="s">
        <v>3</v>
      </c>
      <c r="H11" s="99" t="s">
        <v>167</v>
      </c>
      <c r="I11" s="99" t="s">
        <v>174</v>
      </c>
      <c r="J11" s="99" t="str">
        <f t="shared" si="1"/>
        <v>Easties 2</v>
      </c>
    </row>
    <row r="12" spans="1:10" ht="17.399999999999999" customHeight="1" x14ac:dyDescent="0.2">
      <c r="A12" s="99" t="str">
        <f>A11</f>
        <v>Round 4</v>
      </c>
      <c r="B12" s="100">
        <f>B11</f>
        <v>45887</v>
      </c>
      <c r="C12" s="101" t="s">
        <v>15</v>
      </c>
      <c r="D12" s="99" t="s">
        <v>1</v>
      </c>
      <c r="E12" s="99" t="str">
        <f t="shared" si="2"/>
        <v>Mixed Bag</v>
      </c>
      <c r="F12" s="99" t="s">
        <v>168</v>
      </c>
      <c r="G12" s="99" t="s">
        <v>3</v>
      </c>
      <c r="H12" s="99" t="s">
        <v>170</v>
      </c>
      <c r="I12" s="99" t="s">
        <v>174</v>
      </c>
      <c r="J12" s="99" t="str">
        <f t="shared" si="1"/>
        <v>The Village</v>
      </c>
    </row>
    <row r="13" spans="1:10" s="37" customFormat="1" ht="17.399999999999999" customHeight="1" x14ac:dyDescent="0.2">
      <c r="A13" s="99" t="str">
        <f>A12</f>
        <v>Round 4</v>
      </c>
      <c r="B13" s="100">
        <f>B12</f>
        <v>45887</v>
      </c>
      <c r="C13" s="101" t="s">
        <v>15</v>
      </c>
      <c r="D13" s="99" t="s">
        <v>2</v>
      </c>
      <c r="E13" s="99" t="str">
        <f t="shared" si="2"/>
        <v>Easties 1</v>
      </c>
      <c r="F13" s="99" t="s">
        <v>166</v>
      </c>
      <c r="G13" s="99" t="s">
        <v>3</v>
      </c>
      <c r="H13" s="99" t="s">
        <v>169</v>
      </c>
      <c r="I13" s="99" t="s">
        <v>174</v>
      </c>
      <c r="J13" s="99" t="str">
        <f t="shared" si="1"/>
        <v>Juniors</v>
      </c>
    </row>
    <row r="14" spans="1:10" s="37" customFormat="1" ht="17.399999999999999" customHeight="1" x14ac:dyDescent="0.2">
      <c r="A14" s="31" t="s">
        <v>21</v>
      </c>
      <c r="B14" s="32">
        <f>B11+7</f>
        <v>45894</v>
      </c>
      <c r="C14" s="33" t="s">
        <v>15</v>
      </c>
      <c r="D14" s="31" t="s">
        <v>0</v>
      </c>
      <c r="E14" s="31" t="str">
        <f t="shared" si="2"/>
        <v>The Village</v>
      </c>
      <c r="F14" s="31" t="s">
        <v>170</v>
      </c>
      <c r="G14" s="31" t="s">
        <v>3</v>
      </c>
      <c r="H14" s="31" t="s">
        <v>174</v>
      </c>
      <c r="I14" s="31" t="s">
        <v>175</v>
      </c>
      <c r="J14" s="31" t="str">
        <f t="shared" si="1"/>
        <v>Powerpuff Girls</v>
      </c>
    </row>
    <row r="15" spans="1:10" s="37" customFormat="1" ht="17.399999999999999" customHeight="1" x14ac:dyDescent="0.2">
      <c r="A15" s="31" t="str">
        <f>A14</f>
        <v>Round 5</v>
      </c>
      <c r="B15" s="32">
        <f>B14</f>
        <v>45894</v>
      </c>
      <c r="C15" s="33" t="s">
        <v>15</v>
      </c>
      <c r="D15" s="31" t="s">
        <v>1</v>
      </c>
      <c r="E15" s="31" t="str">
        <f t="shared" si="2"/>
        <v>Easties 2</v>
      </c>
      <c r="F15" s="31" t="s">
        <v>167</v>
      </c>
      <c r="G15" s="31" t="s">
        <v>3</v>
      </c>
      <c r="H15" s="31" t="s">
        <v>169</v>
      </c>
      <c r="I15" s="31" t="s">
        <v>175</v>
      </c>
      <c r="J15" s="31" t="str">
        <f t="shared" si="1"/>
        <v>Juniors</v>
      </c>
    </row>
    <row r="16" spans="1:10" s="37" customFormat="1" ht="17.399999999999999" customHeight="1" x14ac:dyDescent="0.2">
      <c r="A16" s="31" t="str">
        <f>A15</f>
        <v>Round 5</v>
      </c>
      <c r="B16" s="32">
        <f>B15</f>
        <v>45894</v>
      </c>
      <c r="C16" s="33" t="s">
        <v>15</v>
      </c>
      <c r="D16" s="31" t="s">
        <v>2</v>
      </c>
      <c r="E16" s="31" t="str">
        <f t="shared" si="2"/>
        <v>Easties 1</v>
      </c>
      <c r="F16" s="31" t="s">
        <v>166</v>
      </c>
      <c r="G16" s="31" t="s">
        <v>3</v>
      </c>
      <c r="H16" s="31" t="s">
        <v>168</v>
      </c>
      <c r="I16" s="31" t="s">
        <v>175</v>
      </c>
      <c r="J16" s="31" t="str">
        <f t="shared" si="1"/>
        <v>Mixed Bag</v>
      </c>
    </row>
    <row r="17" spans="1:10" s="37" customFormat="1" ht="17.399999999999999" customHeight="1" x14ac:dyDescent="0.2">
      <c r="A17" s="99" t="s">
        <v>22</v>
      </c>
      <c r="B17" s="100">
        <f>B14+7</f>
        <v>45901</v>
      </c>
      <c r="C17" s="101" t="s">
        <v>15</v>
      </c>
      <c r="D17" s="99" t="s">
        <v>0</v>
      </c>
      <c r="E17" s="99" t="str">
        <f t="shared" si="2"/>
        <v>Juniors</v>
      </c>
      <c r="F17" s="99" t="s">
        <v>169</v>
      </c>
      <c r="G17" s="99" t="s">
        <v>3</v>
      </c>
      <c r="H17" s="99" t="s">
        <v>175</v>
      </c>
      <c r="I17" s="99" t="s">
        <v>170</v>
      </c>
      <c r="J17" s="99" t="str">
        <f t="shared" si="1"/>
        <v>Bull Bashers</v>
      </c>
    </row>
    <row r="18" spans="1:10" s="37" customFormat="1" ht="17.399999999999999" customHeight="1" x14ac:dyDescent="0.2">
      <c r="A18" s="99" t="str">
        <f>A17</f>
        <v>Round 6</v>
      </c>
      <c r="B18" s="100">
        <f>B17</f>
        <v>45901</v>
      </c>
      <c r="C18" s="101" t="s">
        <v>15</v>
      </c>
      <c r="D18" s="99" t="s">
        <v>1</v>
      </c>
      <c r="E18" s="99" t="str">
        <f t="shared" si="2"/>
        <v>Powerpuff Girls</v>
      </c>
      <c r="F18" s="99" t="s">
        <v>174</v>
      </c>
      <c r="G18" s="99" t="s">
        <v>3</v>
      </c>
      <c r="H18" s="99" t="s">
        <v>166</v>
      </c>
      <c r="I18" s="99" t="s">
        <v>170</v>
      </c>
      <c r="J18" s="99" t="str">
        <f t="shared" si="1"/>
        <v>Easties 1</v>
      </c>
    </row>
    <row r="19" spans="1:10" s="37" customFormat="1" ht="17.399999999999999" customHeight="1" x14ac:dyDescent="0.2">
      <c r="A19" s="99" t="str">
        <f>A18</f>
        <v>Round 6</v>
      </c>
      <c r="B19" s="100">
        <f>B18</f>
        <v>45901</v>
      </c>
      <c r="C19" s="101" t="s">
        <v>15</v>
      </c>
      <c r="D19" s="99" t="s">
        <v>2</v>
      </c>
      <c r="E19" s="99" t="str">
        <f t="shared" si="2"/>
        <v>Mixed Bag</v>
      </c>
      <c r="F19" s="99" t="s">
        <v>168</v>
      </c>
      <c r="G19" s="99" t="s">
        <v>3</v>
      </c>
      <c r="H19" s="99" t="s">
        <v>167</v>
      </c>
      <c r="I19" s="99" t="s">
        <v>170</v>
      </c>
      <c r="J19" s="99" t="str">
        <f t="shared" si="1"/>
        <v>Easties 2</v>
      </c>
    </row>
    <row r="20" spans="1:10" s="37" customFormat="1" ht="17.399999999999999" customHeight="1" x14ac:dyDescent="0.2">
      <c r="A20" s="31" t="s">
        <v>23</v>
      </c>
      <c r="B20" s="32">
        <f>B17+7</f>
        <v>45908</v>
      </c>
      <c r="C20" s="33" t="s">
        <v>15</v>
      </c>
      <c r="D20" s="31" t="s">
        <v>0</v>
      </c>
      <c r="E20" s="31" t="str">
        <f t="shared" si="2"/>
        <v>Easties 1</v>
      </c>
      <c r="F20" s="31" t="s">
        <v>166</v>
      </c>
      <c r="G20" s="31" t="s">
        <v>3</v>
      </c>
      <c r="H20" s="31" t="s">
        <v>170</v>
      </c>
      <c r="I20" s="31" t="s">
        <v>169</v>
      </c>
      <c r="J20" s="31" t="str">
        <f t="shared" si="1"/>
        <v>The Village</v>
      </c>
    </row>
    <row r="21" spans="1:10" s="37" customFormat="1" ht="17.399999999999999" customHeight="1" x14ac:dyDescent="0.2">
      <c r="A21" s="31" t="str">
        <f>A20</f>
        <v>Round 7</v>
      </c>
      <c r="B21" s="32">
        <f>B20</f>
        <v>45908</v>
      </c>
      <c r="C21" s="33" t="s">
        <v>15</v>
      </c>
      <c r="D21" s="31" t="s">
        <v>1</v>
      </c>
      <c r="E21" s="31" t="str">
        <f t="shared" si="2"/>
        <v>Bull Bashers</v>
      </c>
      <c r="F21" s="31" t="s">
        <v>175</v>
      </c>
      <c r="G21" s="31" t="s">
        <v>3</v>
      </c>
      <c r="H21" s="31" t="s">
        <v>168</v>
      </c>
      <c r="I21" s="31" t="s">
        <v>169</v>
      </c>
      <c r="J21" s="31" t="str">
        <f t="shared" si="1"/>
        <v>Mixed Bag</v>
      </c>
    </row>
    <row r="22" spans="1:10" s="37" customFormat="1" ht="17.399999999999999" customHeight="1" x14ac:dyDescent="0.2">
      <c r="A22" s="31" t="str">
        <f>A21</f>
        <v>Round 7</v>
      </c>
      <c r="B22" s="32">
        <f>B21</f>
        <v>45908</v>
      </c>
      <c r="C22" s="33" t="s">
        <v>15</v>
      </c>
      <c r="D22" s="31" t="s">
        <v>2</v>
      </c>
      <c r="E22" s="31" t="str">
        <f t="shared" si="2"/>
        <v>Easties 2</v>
      </c>
      <c r="F22" s="31" t="s">
        <v>167</v>
      </c>
      <c r="G22" s="31" t="s">
        <v>3</v>
      </c>
      <c r="H22" s="31" t="s">
        <v>174</v>
      </c>
      <c r="I22" s="31" t="s">
        <v>169</v>
      </c>
      <c r="J22" s="31" t="str">
        <f t="shared" si="1"/>
        <v>Powerpuff Girls</v>
      </c>
    </row>
    <row r="23" spans="1:10" s="37" customFormat="1" ht="17.399999999999999" customHeight="1" x14ac:dyDescent="0.2">
      <c r="A23" s="99" t="s">
        <v>24</v>
      </c>
      <c r="B23" s="100">
        <f>B20+7</f>
        <v>45915</v>
      </c>
      <c r="C23" s="101" t="s">
        <v>15</v>
      </c>
      <c r="D23" s="99" t="s">
        <v>0</v>
      </c>
      <c r="E23" s="99" t="str">
        <f t="shared" si="2"/>
        <v>Mixed Bag</v>
      </c>
      <c r="F23" s="99" t="s">
        <v>168</v>
      </c>
      <c r="G23" s="99" t="s">
        <v>3</v>
      </c>
      <c r="H23" s="99" t="s">
        <v>169</v>
      </c>
      <c r="I23" s="99" t="s">
        <v>166</v>
      </c>
      <c r="J23" s="99" t="str">
        <f t="shared" si="1"/>
        <v>Juniors</v>
      </c>
    </row>
    <row r="24" spans="1:10" s="37" customFormat="1" ht="17.399999999999999" customHeight="1" x14ac:dyDescent="0.2">
      <c r="A24" s="99" t="str">
        <f>A23</f>
        <v>Round 8</v>
      </c>
      <c r="B24" s="100">
        <f>B23</f>
        <v>45915</v>
      </c>
      <c r="C24" s="101" t="s">
        <v>15</v>
      </c>
      <c r="D24" s="99" t="s">
        <v>1</v>
      </c>
      <c r="E24" s="99" t="str">
        <f t="shared" si="2"/>
        <v>Easties 2</v>
      </c>
      <c r="F24" s="99" t="s">
        <v>167</v>
      </c>
      <c r="G24" s="99" t="s">
        <v>3</v>
      </c>
      <c r="H24" s="99" t="s">
        <v>170</v>
      </c>
      <c r="I24" s="99" t="s">
        <v>166</v>
      </c>
      <c r="J24" s="99" t="str">
        <f t="shared" si="1"/>
        <v>The Village</v>
      </c>
    </row>
    <row r="25" spans="1:10" s="37" customFormat="1" ht="17.399999999999999" customHeight="1" x14ac:dyDescent="0.2">
      <c r="A25" s="99" t="str">
        <f>A24</f>
        <v>Round 8</v>
      </c>
      <c r="B25" s="100">
        <f>B24</f>
        <v>45915</v>
      </c>
      <c r="C25" s="101" t="s">
        <v>15</v>
      </c>
      <c r="D25" s="99" t="s">
        <v>2</v>
      </c>
      <c r="E25" s="99" t="str">
        <f t="shared" si="2"/>
        <v>Powerpuff Girls</v>
      </c>
      <c r="F25" s="99" t="s">
        <v>174</v>
      </c>
      <c r="G25" s="99" t="s">
        <v>3</v>
      </c>
      <c r="H25" s="99" t="s">
        <v>175</v>
      </c>
      <c r="I25" s="99" t="s">
        <v>166</v>
      </c>
      <c r="J25" s="99" t="str">
        <f t="shared" si="1"/>
        <v>Bull Bashers</v>
      </c>
    </row>
    <row r="26" spans="1:10" s="37" customFormat="1" ht="17.399999999999999" customHeight="1" x14ac:dyDescent="0.2">
      <c r="A26" s="27"/>
      <c r="B26" s="28">
        <f>B25+7</f>
        <v>45922</v>
      </c>
      <c r="C26" s="29"/>
      <c r="D26" s="27"/>
      <c r="E26" s="27" t="s">
        <v>158</v>
      </c>
      <c r="F26" s="27"/>
      <c r="G26" s="27"/>
      <c r="H26" s="27"/>
      <c r="I26" s="27"/>
      <c r="J26" s="27"/>
    </row>
    <row r="27" spans="1:10" s="37" customFormat="1" ht="17.399999999999999" customHeight="1" x14ac:dyDescent="0.2">
      <c r="A27" s="27"/>
      <c r="B27" s="28">
        <f>B26+7</f>
        <v>45929</v>
      </c>
      <c r="C27" s="29"/>
      <c r="D27" s="27"/>
      <c r="E27" s="27" t="s">
        <v>158</v>
      </c>
      <c r="F27" s="27"/>
      <c r="G27" s="27"/>
      <c r="H27" s="27"/>
      <c r="I27" s="27"/>
      <c r="J27" s="27"/>
    </row>
    <row r="28" spans="1:10" ht="17.399999999999999" customHeight="1" x14ac:dyDescent="0.2">
      <c r="A28" s="27" t="s">
        <v>92</v>
      </c>
      <c r="B28" s="28" t="s">
        <v>6</v>
      </c>
      <c r="C28" s="29" t="s">
        <v>7</v>
      </c>
      <c r="D28" s="27" t="s">
        <v>8</v>
      </c>
      <c r="E28" s="27" t="s">
        <v>91</v>
      </c>
      <c r="F28" s="27" t="s">
        <v>10</v>
      </c>
      <c r="G28" s="27"/>
      <c r="H28" s="27" t="s">
        <v>11</v>
      </c>
      <c r="I28" s="27" t="s">
        <v>90</v>
      </c>
      <c r="J28" s="27" t="s">
        <v>99</v>
      </c>
    </row>
    <row r="29" spans="1:10" s="37" customFormat="1" ht="17.399999999999999" customHeight="1" x14ac:dyDescent="0.2">
      <c r="A29" s="31" t="s">
        <v>26</v>
      </c>
      <c r="B29" s="103">
        <f>B27+7</f>
        <v>45936</v>
      </c>
      <c r="C29" s="104" t="s">
        <v>15</v>
      </c>
      <c r="D29" s="102" t="s">
        <v>0</v>
      </c>
      <c r="E29" s="31" t="str">
        <f t="shared" ref="E29:E46" si="3">F29</f>
        <v>Easties 2</v>
      </c>
      <c r="F29" s="102" t="s">
        <v>167</v>
      </c>
      <c r="G29" s="102" t="s">
        <v>3</v>
      </c>
      <c r="H29" s="102" t="s">
        <v>166</v>
      </c>
      <c r="I29" s="102" t="s">
        <v>168</v>
      </c>
      <c r="J29" s="31" t="str">
        <f t="shared" ref="J29:J46" si="4">H29</f>
        <v>Easties 1</v>
      </c>
    </row>
    <row r="30" spans="1:10" s="37" customFormat="1" ht="17.399999999999999" customHeight="1" x14ac:dyDescent="0.2">
      <c r="A30" s="31" t="str">
        <f>A29</f>
        <v>Round 9</v>
      </c>
      <c r="B30" s="103">
        <f>B29</f>
        <v>45936</v>
      </c>
      <c r="C30" s="104" t="s">
        <v>15</v>
      </c>
      <c r="D30" s="102" t="s">
        <v>1</v>
      </c>
      <c r="E30" s="31" t="str">
        <f t="shared" si="3"/>
        <v>Powerpuff Girls</v>
      </c>
      <c r="F30" s="102" t="s">
        <v>174</v>
      </c>
      <c r="G30" s="102" t="s">
        <v>3</v>
      </c>
      <c r="H30" s="102" t="s">
        <v>169</v>
      </c>
      <c r="I30" s="102" t="s">
        <v>168</v>
      </c>
      <c r="J30" s="31" t="str">
        <f t="shared" si="4"/>
        <v>Juniors</v>
      </c>
    </row>
    <row r="31" spans="1:10" s="37" customFormat="1" ht="17.399999999999999" customHeight="1" x14ac:dyDescent="0.2">
      <c r="A31" s="31" t="str">
        <f>A30</f>
        <v>Round 9</v>
      </c>
      <c r="B31" s="103">
        <f>B30</f>
        <v>45936</v>
      </c>
      <c r="C31" s="104" t="s">
        <v>15</v>
      </c>
      <c r="D31" s="102" t="s">
        <v>2</v>
      </c>
      <c r="E31" s="31" t="str">
        <f t="shared" si="3"/>
        <v>The Village</v>
      </c>
      <c r="F31" s="102" t="s">
        <v>170</v>
      </c>
      <c r="G31" s="102" t="s">
        <v>3</v>
      </c>
      <c r="H31" s="102" t="s">
        <v>175</v>
      </c>
      <c r="I31" s="102" t="s">
        <v>168</v>
      </c>
      <c r="J31" s="31" t="str">
        <f t="shared" si="4"/>
        <v>Bull Bashers</v>
      </c>
    </row>
    <row r="32" spans="1:10" s="37" customFormat="1" ht="17.399999999999999" customHeight="1" x14ac:dyDescent="0.2">
      <c r="A32" s="99" t="s">
        <v>27</v>
      </c>
      <c r="B32" s="100">
        <f>B29+7</f>
        <v>45943</v>
      </c>
      <c r="C32" s="101" t="s">
        <v>15</v>
      </c>
      <c r="D32" s="99" t="s">
        <v>0</v>
      </c>
      <c r="E32" s="99" t="str">
        <f t="shared" si="3"/>
        <v>Powerpuff Girls</v>
      </c>
      <c r="F32" s="99" t="s">
        <v>174</v>
      </c>
      <c r="G32" s="99" t="s">
        <v>3</v>
      </c>
      <c r="H32" s="99" t="s">
        <v>168</v>
      </c>
      <c r="I32" s="99" t="s">
        <v>167</v>
      </c>
      <c r="J32" s="99" t="str">
        <f t="shared" si="4"/>
        <v>Mixed Bag</v>
      </c>
    </row>
    <row r="33" spans="1:10" s="37" customFormat="1" ht="17.399999999999999" customHeight="1" x14ac:dyDescent="0.2">
      <c r="A33" s="99" t="str">
        <f>A32</f>
        <v>Round 10</v>
      </c>
      <c r="B33" s="100">
        <f>B32</f>
        <v>45943</v>
      </c>
      <c r="C33" s="101" t="s">
        <v>15</v>
      </c>
      <c r="D33" s="99" t="s">
        <v>1</v>
      </c>
      <c r="E33" s="99" t="str">
        <f t="shared" si="3"/>
        <v>Bull Bashers</v>
      </c>
      <c r="F33" s="99" t="s">
        <v>175</v>
      </c>
      <c r="G33" s="99" t="s">
        <v>3</v>
      </c>
      <c r="H33" s="99" t="s">
        <v>166</v>
      </c>
      <c r="I33" s="99" t="s">
        <v>167</v>
      </c>
      <c r="J33" s="99" t="str">
        <f t="shared" si="4"/>
        <v>Easties 1</v>
      </c>
    </row>
    <row r="34" spans="1:10" s="37" customFormat="1" ht="17.399999999999999" customHeight="1" x14ac:dyDescent="0.2">
      <c r="A34" s="99" t="str">
        <f>A33</f>
        <v>Round 10</v>
      </c>
      <c r="B34" s="100">
        <f>B33</f>
        <v>45943</v>
      </c>
      <c r="C34" s="101" t="s">
        <v>15</v>
      </c>
      <c r="D34" s="99" t="s">
        <v>2</v>
      </c>
      <c r="E34" s="99" t="str">
        <f t="shared" si="3"/>
        <v>Juniors</v>
      </c>
      <c r="F34" s="99" t="s">
        <v>169</v>
      </c>
      <c r="G34" s="99" t="s">
        <v>3</v>
      </c>
      <c r="H34" s="99" t="s">
        <v>170</v>
      </c>
      <c r="I34" s="99" t="s">
        <v>167</v>
      </c>
      <c r="J34" s="99" t="str">
        <f t="shared" si="4"/>
        <v>The Village</v>
      </c>
    </row>
    <row r="35" spans="1:10" s="37" customFormat="1" ht="17.399999999999999" customHeight="1" x14ac:dyDescent="0.2">
      <c r="A35" s="31" t="s">
        <v>28</v>
      </c>
      <c r="B35" s="103">
        <f>B32+7</f>
        <v>45950</v>
      </c>
      <c r="C35" s="104" t="s">
        <v>15</v>
      </c>
      <c r="D35" s="102" t="s">
        <v>0</v>
      </c>
      <c r="E35" s="31" t="str">
        <f t="shared" si="3"/>
        <v>Bull Bashers</v>
      </c>
      <c r="F35" s="102" t="s">
        <v>175</v>
      </c>
      <c r="G35" s="102" t="s">
        <v>3</v>
      </c>
      <c r="H35" s="102" t="s">
        <v>167</v>
      </c>
      <c r="I35" s="102" t="s">
        <v>174</v>
      </c>
      <c r="J35" s="31" t="str">
        <f t="shared" si="4"/>
        <v>Easties 2</v>
      </c>
    </row>
    <row r="36" spans="1:10" s="37" customFormat="1" ht="17.399999999999999" customHeight="1" x14ac:dyDescent="0.2">
      <c r="A36" s="31" t="str">
        <f>A35</f>
        <v>Round 11</v>
      </c>
      <c r="B36" s="103">
        <f>B35</f>
        <v>45950</v>
      </c>
      <c r="C36" s="104" t="s">
        <v>15</v>
      </c>
      <c r="D36" s="102" t="s">
        <v>1</v>
      </c>
      <c r="E36" s="31" t="str">
        <f t="shared" si="3"/>
        <v>Mixed Bag</v>
      </c>
      <c r="F36" s="102" t="s">
        <v>168</v>
      </c>
      <c r="G36" s="102" t="s">
        <v>3</v>
      </c>
      <c r="H36" s="102" t="s">
        <v>170</v>
      </c>
      <c r="I36" s="102" t="s">
        <v>174</v>
      </c>
      <c r="J36" s="31" t="str">
        <f t="shared" si="4"/>
        <v>The Village</v>
      </c>
    </row>
    <row r="37" spans="1:10" s="37" customFormat="1" ht="17.399999999999999" customHeight="1" x14ac:dyDescent="0.2">
      <c r="A37" s="31" t="str">
        <f>A36</f>
        <v>Round 11</v>
      </c>
      <c r="B37" s="103">
        <f>B36</f>
        <v>45950</v>
      </c>
      <c r="C37" s="104" t="s">
        <v>15</v>
      </c>
      <c r="D37" s="102" t="s">
        <v>2</v>
      </c>
      <c r="E37" s="31" t="str">
        <f t="shared" si="3"/>
        <v>Easties 1</v>
      </c>
      <c r="F37" s="102" t="s">
        <v>166</v>
      </c>
      <c r="G37" s="102" t="s">
        <v>3</v>
      </c>
      <c r="H37" s="102" t="s">
        <v>169</v>
      </c>
      <c r="I37" s="102" t="s">
        <v>174</v>
      </c>
      <c r="J37" s="31" t="str">
        <f t="shared" si="4"/>
        <v>Juniors</v>
      </c>
    </row>
    <row r="38" spans="1:10" s="37" customFormat="1" ht="17.399999999999999" customHeight="1" x14ac:dyDescent="0.2">
      <c r="A38" s="99" t="s">
        <v>29</v>
      </c>
      <c r="B38" s="100">
        <f>B35+7</f>
        <v>45957</v>
      </c>
      <c r="C38" s="101" t="s">
        <v>15</v>
      </c>
      <c r="D38" s="99" t="s">
        <v>0</v>
      </c>
      <c r="E38" s="99" t="str">
        <f t="shared" si="3"/>
        <v>The Village</v>
      </c>
      <c r="F38" s="99" t="s">
        <v>170</v>
      </c>
      <c r="G38" s="99" t="s">
        <v>3</v>
      </c>
      <c r="H38" s="99" t="s">
        <v>174</v>
      </c>
      <c r="I38" s="99" t="s">
        <v>175</v>
      </c>
      <c r="J38" s="99" t="str">
        <f t="shared" si="4"/>
        <v>Powerpuff Girls</v>
      </c>
    </row>
    <row r="39" spans="1:10" s="37" customFormat="1" ht="17.399999999999999" customHeight="1" x14ac:dyDescent="0.2">
      <c r="A39" s="99" t="str">
        <f>A38</f>
        <v>Round 12</v>
      </c>
      <c r="B39" s="100">
        <f>B38</f>
        <v>45957</v>
      </c>
      <c r="C39" s="101" t="s">
        <v>15</v>
      </c>
      <c r="D39" s="99" t="s">
        <v>1</v>
      </c>
      <c r="E39" s="99" t="str">
        <f t="shared" si="3"/>
        <v>Juniors</v>
      </c>
      <c r="F39" s="99" t="s">
        <v>169</v>
      </c>
      <c r="G39" s="99" t="s">
        <v>3</v>
      </c>
      <c r="H39" s="99" t="s">
        <v>167</v>
      </c>
      <c r="I39" s="99" t="s">
        <v>175</v>
      </c>
      <c r="J39" s="99" t="str">
        <f t="shared" si="4"/>
        <v>Easties 2</v>
      </c>
    </row>
    <row r="40" spans="1:10" s="37" customFormat="1" ht="17.399999999999999" customHeight="1" x14ac:dyDescent="0.2">
      <c r="A40" s="99" t="str">
        <f>A39</f>
        <v>Round 12</v>
      </c>
      <c r="B40" s="100">
        <f>B39</f>
        <v>45957</v>
      </c>
      <c r="C40" s="101" t="s">
        <v>15</v>
      </c>
      <c r="D40" s="99" t="s">
        <v>2</v>
      </c>
      <c r="E40" s="99" t="str">
        <f t="shared" si="3"/>
        <v>Mixed Bag</v>
      </c>
      <c r="F40" s="99" t="s">
        <v>168</v>
      </c>
      <c r="G40" s="99" t="s">
        <v>3</v>
      </c>
      <c r="H40" s="99" t="s">
        <v>166</v>
      </c>
      <c r="I40" s="99" t="s">
        <v>175</v>
      </c>
      <c r="J40" s="99" t="str">
        <f t="shared" si="4"/>
        <v>Easties 1</v>
      </c>
    </row>
    <row r="41" spans="1:10" s="37" customFormat="1" ht="17.399999999999999" customHeight="1" x14ac:dyDescent="0.2">
      <c r="A41" s="31" t="s">
        <v>30</v>
      </c>
      <c r="B41" s="105">
        <f>B38+7</f>
        <v>45964</v>
      </c>
      <c r="C41" s="106" t="s">
        <v>15</v>
      </c>
      <c r="D41" s="102" t="s">
        <v>0</v>
      </c>
      <c r="E41" s="31" t="str">
        <f t="shared" si="3"/>
        <v>Juniors</v>
      </c>
      <c r="F41" s="102" t="s">
        <v>169</v>
      </c>
      <c r="G41" s="102" t="s">
        <v>3</v>
      </c>
      <c r="H41" s="102" t="s">
        <v>175</v>
      </c>
      <c r="I41" s="102" t="s">
        <v>170</v>
      </c>
      <c r="J41" s="31" t="str">
        <f t="shared" si="4"/>
        <v>Bull Bashers</v>
      </c>
    </row>
    <row r="42" spans="1:10" s="37" customFormat="1" ht="17.399999999999999" customHeight="1" x14ac:dyDescent="0.2">
      <c r="A42" s="31" t="str">
        <f>A41</f>
        <v>Round 13</v>
      </c>
      <c r="B42" s="105">
        <f>B41</f>
        <v>45964</v>
      </c>
      <c r="C42" s="106" t="s">
        <v>15</v>
      </c>
      <c r="D42" s="102" t="s">
        <v>1</v>
      </c>
      <c r="E42" s="31" t="str">
        <f t="shared" si="3"/>
        <v>Easties 1</v>
      </c>
      <c r="F42" s="102" t="s">
        <v>166</v>
      </c>
      <c r="G42" s="102" t="s">
        <v>3</v>
      </c>
      <c r="H42" s="102" t="s">
        <v>174</v>
      </c>
      <c r="I42" s="102" t="s">
        <v>170</v>
      </c>
      <c r="J42" s="31" t="str">
        <f t="shared" si="4"/>
        <v>Powerpuff Girls</v>
      </c>
    </row>
    <row r="43" spans="1:10" s="37" customFormat="1" ht="17.399999999999999" customHeight="1" x14ac:dyDescent="0.2">
      <c r="A43" s="31" t="str">
        <f>A42</f>
        <v>Round 13</v>
      </c>
      <c r="B43" s="105">
        <f>B42</f>
        <v>45964</v>
      </c>
      <c r="C43" s="106" t="s">
        <v>15</v>
      </c>
      <c r="D43" s="102" t="s">
        <v>2</v>
      </c>
      <c r="E43" s="31" t="str">
        <f t="shared" si="3"/>
        <v>Easties 2</v>
      </c>
      <c r="F43" s="102" t="s">
        <v>167</v>
      </c>
      <c r="G43" s="102" t="s">
        <v>3</v>
      </c>
      <c r="H43" s="102" t="s">
        <v>168</v>
      </c>
      <c r="I43" s="102" t="s">
        <v>170</v>
      </c>
      <c r="J43" s="31" t="str">
        <f t="shared" si="4"/>
        <v>Mixed Bag</v>
      </c>
    </row>
    <row r="44" spans="1:10" s="37" customFormat="1" ht="17.399999999999999" customHeight="1" x14ac:dyDescent="0.2">
      <c r="A44" s="99" t="s">
        <v>31</v>
      </c>
      <c r="B44" s="100">
        <f>B41+7</f>
        <v>45971</v>
      </c>
      <c r="C44" s="101" t="s">
        <v>15</v>
      </c>
      <c r="D44" s="99" t="s">
        <v>0</v>
      </c>
      <c r="E44" s="99" t="str">
        <f t="shared" si="3"/>
        <v>The Village</v>
      </c>
      <c r="F44" s="99" t="s">
        <v>170</v>
      </c>
      <c r="G44" s="99" t="s">
        <v>3</v>
      </c>
      <c r="H44" s="99" t="s">
        <v>166</v>
      </c>
      <c r="I44" s="99" t="s">
        <v>169</v>
      </c>
      <c r="J44" s="99" t="str">
        <f t="shared" si="4"/>
        <v>Easties 1</v>
      </c>
    </row>
    <row r="45" spans="1:10" s="37" customFormat="1" ht="17.399999999999999" customHeight="1" x14ac:dyDescent="0.2">
      <c r="A45" s="99" t="str">
        <f>A44</f>
        <v>Round 14</v>
      </c>
      <c r="B45" s="100">
        <f>B44</f>
        <v>45971</v>
      </c>
      <c r="C45" s="101" t="s">
        <v>15</v>
      </c>
      <c r="D45" s="99" t="s">
        <v>1</v>
      </c>
      <c r="E45" s="99" t="str">
        <f t="shared" si="3"/>
        <v>Bull Bashers</v>
      </c>
      <c r="F45" s="99" t="s">
        <v>175</v>
      </c>
      <c r="G45" s="99" t="s">
        <v>3</v>
      </c>
      <c r="H45" s="99" t="s">
        <v>168</v>
      </c>
      <c r="I45" s="99" t="s">
        <v>169</v>
      </c>
      <c r="J45" s="99" t="str">
        <f t="shared" si="4"/>
        <v>Mixed Bag</v>
      </c>
    </row>
    <row r="46" spans="1:10" s="37" customFormat="1" ht="17.399999999999999" customHeight="1" x14ac:dyDescent="0.2">
      <c r="A46" s="99" t="str">
        <f>A45</f>
        <v>Round 14</v>
      </c>
      <c r="B46" s="100">
        <f>B45</f>
        <v>45971</v>
      </c>
      <c r="C46" s="101" t="s">
        <v>15</v>
      </c>
      <c r="D46" s="99" t="s">
        <v>2</v>
      </c>
      <c r="E46" s="99" t="str">
        <f t="shared" si="3"/>
        <v>Easties 2</v>
      </c>
      <c r="F46" s="99" t="s">
        <v>167</v>
      </c>
      <c r="G46" s="99" t="s">
        <v>3</v>
      </c>
      <c r="H46" s="99" t="s">
        <v>174</v>
      </c>
      <c r="I46" s="99" t="s">
        <v>169</v>
      </c>
      <c r="J46" s="99" t="str">
        <f t="shared" si="4"/>
        <v>Powerpuff Girls</v>
      </c>
    </row>
    <row r="47" spans="1:10" ht="17.399999999999999" customHeight="1" x14ac:dyDescent="0.2">
      <c r="A47" s="122" t="s">
        <v>103</v>
      </c>
      <c r="B47" s="28">
        <f>B44+7</f>
        <v>45978</v>
      </c>
      <c r="C47" s="29" t="s">
        <v>15</v>
      </c>
      <c r="D47" s="27" t="s">
        <v>0</v>
      </c>
      <c r="E47" s="27" t="str">
        <f>F47</f>
        <v>1st</v>
      </c>
      <c r="F47" s="27" t="s">
        <v>106</v>
      </c>
      <c r="G47" s="27" t="s">
        <v>3</v>
      </c>
      <c r="H47" s="27" t="s">
        <v>107</v>
      </c>
      <c r="I47" s="27" t="str">
        <f>F48</f>
        <v>3rd</v>
      </c>
      <c r="J47" s="27"/>
    </row>
    <row r="48" spans="1:10" ht="17.399999999999999" customHeight="1" x14ac:dyDescent="0.2">
      <c r="A48" s="122" t="str">
        <f>A47</f>
        <v>Prelim Final</v>
      </c>
      <c r="B48" s="28">
        <f>B47</f>
        <v>45978</v>
      </c>
      <c r="C48" s="29" t="s">
        <v>15</v>
      </c>
      <c r="D48" s="27" t="s">
        <v>1</v>
      </c>
      <c r="E48" s="27"/>
      <c r="F48" s="27" t="s">
        <v>108</v>
      </c>
      <c r="G48" s="27" t="s">
        <v>3</v>
      </c>
      <c r="H48" s="27" t="s">
        <v>109</v>
      </c>
      <c r="I48" s="27" t="str">
        <f>H47</f>
        <v>2nd</v>
      </c>
      <c r="J48" s="27" t="str">
        <f>H48</f>
        <v>4th</v>
      </c>
    </row>
    <row r="49" spans="1:10" ht="17.399999999999999" customHeight="1" x14ac:dyDescent="0.2">
      <c r="A49" s="90" t="s">
        <v>104</v>
      </c>
      <c r="B49" s="28">
        <f>B48+7</f>
        <v>45985</v>
      </c>
      <c r="C49" s="29" t="s">
        <v>15</v>
      </c>
      <c r="D49" s="27" t="s">
        <v>0</v>
      </c>
      <c r="E49" s="27"/>
      <c r="F49" s="27" t="s">
        <v>110</v>
      </c>
      <c r="G49" s="27"/>
      <c r="H49" s="27" t="s">
        <v>111</v>
      </c>
      <c r="I49" s="27"/>
      <c r="J49" s="27"/>
    </row>
    <row r="50" spans="1:10" ht="17.399999999999999" customHeight="1" x14ac:dyDescent="0.2">
      <c r="A50" s="27" t="s">
        <v>105</v>
      </c>
      <c r="B50" s="107">
        <v>45993</v>
      </c>
      <c r="C50" s="29"/>
      <c r="D50" s="27"/>
      <c r="E50" s="27" t="str">
        <f>F50</f>
        <v>Winner prelim</v>
      </c>
      <c r="F50" s="27" t="s">
        <v>113</v>
      </c>
      <c r="G50" s="27" t="s">
        <v>3</v>
      </c>
      <c r="H50" s="27" t="s">
        <v>114</v>
      </c>
      <c r="I50" s="27"/>
      <c r="J50" s="27" t="str">
        <f>H50</f>
        <v>Winner Semi</v>
      </c>
    </row>
    <row r="55" spans="1:10" ht="17.399999999999999" customHeight="1" x14ac:dyDescent="0.2">
      <c r="A55" s="22" t="s">
        <v>89</v>
      </c>
      <c r="B55" s="22" t="s">
        <v>66</v>
      </c>
      <c r="C55" s="11"/>
      <c r="D55" s="80" t="s">
        <v>134</v>
      </c>
      <c r="E55" s="11" t="s">
        <v>63</v>
      </c>
      <c r="F55" s="11" t="s">
        <v>10</v>
      </c>
      <c r="G55" s="11"/>
      <c r="H55" s="11" t="s">
        <v>11</v>
      </c>
      <c r="I55" s="11" t="s">
        <v>64</v>
      </c>
      <c r="J55" s="11" t="s">
        <v>65</v>
      </c>
    </row>
    <row r="56" spans="1:10" ht="17.399999999999999" customHeight="1" x14ac:dyDescent="0.2">
      <c r="A56" s="52">
        <f>F56+H56</f>
        <v>12</v>
      </c>
      <c r="B56" s="52">
        <f>E56+I56+J56</f>
        <v>18</v>
      </c>
      <c r="C56" s="52"/>
      <c r="D56" s="81" t="s">
        <v>168</v>
      </c>
      <c r="E56" s="52">
        <f t="shared" ref="E56:F62" si="5">COUNTIF(E$1:E$46,$D56)</f>
        <v>6</v>
      </c>
      <c r="F56" s="52">
        <f t="shared" si="5"/>
        <v>6</v>
      </c>
      <c r="G56" s="52"/>
      <c r="H56" s="52">
        <f t="shared" ref="H56:J62" si="6">COUNTIF(H$1:H$46,$D56)</f>
        <v>6</v>
      </c>
      <c r="I56" s="52">
        <f t="shared" si="6"/>
        <v>6</v>
      </c>
      <c r="J56" s="52">
        <f t="shared" si="6"/>
        <v>6</v>
      </c>
    </row>
    <row r="57" spans="1:10" ht="17.399999999999999" customHeight="1" x14ac:dyDescent="0.2">
      <c r="A57" s="52">
        <f t="shared" ref="A57:A62" si="7">F57+H57</f>
        <v>12</v>
      </c>
      <c r="B57" s="52">
        <f t="shared" ref="B57:B62" si="8">E57+I57+J57</f>
        <v>18</v>
      </c>
      <c r="C57" s="52"/>
      <c r="D57" s="81" t="s">
        <v>167</v>
      </c>
      <c r="E57" s="52">
        <f t="shared" si="5"/>
        <v>6</v>
      </c>
      <c r="F57" s="52">
        <f t="shared" si="5"/>
        <v>6</v>
      </c>
      <c r="G57" s="52"/>
      <c r="H57" s="52">
        <f t="shared" si="6"/>
        <v>6</v>
      </c>
      <c r="I57" s="52">
        <f t="shared" si="6"/>
        <v>6</v>
      </c>
      <c r="J57" s="52">
        <f t="shared" si="6"/>
        <v>6</v>
      </c>
    </row>
    <row r="58" spans="1:10" ht="17.399999999999999" customHeight="1" x14ac:dyDescent="0.2">
      <c r="A58" s="52">
        <f t="shared" si="7"/>
        <v>12</v>
      </c>
      <c r="B58" s="52">
        <f t="shared" si="8"/>
        <v>18</v>
      </c>
      <c r="C58" s="52"/>
      <c r="D58" s="81" t="s">
        <v>175</v>
      </c>
      <c r="E58" s="52">
        <f t="shared" si="5"/>
        <v>6</v>
      </c>
      <c r="F58" s="52">
        <f t="shared" si="5"/>
        <v>6</v>
      </c>
      <c r="G58" s="52"/>
      <c r="H58" s="52">
        <f t="shared" si="6"/>
        <v>6</v>
      </c>
      <c r="I58" s="52">
        <f t="shared" si="6"/>
        <v>6</v>
      </c>
      <c r="J58" s="52">
        <f t="shared" si="6"/>
        <v>6</v>
      </c>
    </row>
    <row r="59" spans="1:10" ht="17.399999999999999" customHeight="1" x14ac:dyDescent="0.2">
      <c r="A59" s="52">
        <f t="shared" si="7"/>
        <v>12</v>
      </c>
      <c r="B59" s="52">
        <f t="shared" si="8"/>
        <v>18</v>
      </c>
      <c r="C59" s="52"/>
      <c r="D59" s="81" t="s">
        <v>166</v>
      </c>
      <c r="E59" s="52">
        <f t="shared" si="5"/>
        <v>6</v>
      </c>
      <c r="F59" s="52">
        <f t="shared" si="5"/>
        <v>6</v>
      </c>
      <c r="G59" s="52"/>
      <c r="H59" s="52">
        <f t="shared" si="6"/>
        <v>6</v>
      </c>
      <c r="I59" s="52">
        <f t="shared" si="6"/>
        <v>6</v>
      </c>
      <c r="J59" s="52">
        <f t="shared" si="6"/>
        <v>6</v>
      </c>
    </row>
    <row r="60" spans="1:10" ht="17.399999999999999" customHeight="1" x14ac:dyDescent="0.2">
      <c r="A60" s="52">
        <f t="shared" si="7"/>
        <v>12</v>
      </c>
      <c r="B60" s="52">
        <f t="shared" si="8"/>
        <v>18</v>
      </c>
      <c r="C60" s="52"/>
      <c r="D60" s="81" t="s">
        <v>169</v>
      </c>
      <c r="E60" s="52">
        <f t="shared" si="5"/>
        <v>6</v>
      </c>
      <c r="F60" s="52">
        <f t="shared" si="5"/>
        <v>6</v>
      </c>
      <c r="G60" s="52"/>
      <c r="H60" s="52">
        <f t="shared" si="6"/>
        <v>6</v>
      </c>
      <c r="I60" s="52">
        <f t="shared" si="6"/>
        <v>6</v>
      </c>
      <c r="J60" s="52">
        <f t="shared" si="6"/>
        <v>6</v>
      </c>
    </row>
    <row r="61" spans="1:10" ht="17.399999999999999" customHeight="1" x14ac:dyDescent="0.2">
      <c r="A61" s="52">
        <f t="shared" si="7"/>
        <v>12</v>
      </c>
      <c r="B61" s="52">
        <f t="shared" si="8"/>
        <v>18</v>
      </c>
      <c r="C61" s="52"/>
      <c r="D61" s="81" t="s">
        <v>170</v>
      </c>
      <c r="E61" s="52">
        <f t="shared" si="5"/>
        <v>6</v>
      </c>
      <c r="F61" s="52">
        <f t="shared" si="5"/>
        <v>6</v>
      </c>
      <c r="G61" s="52"/>
      <c r="H61" s="52">
        <f t="shared" si="6"/>
        <v>6</v>
      </c>
      <c r="I61" s="52">
        <f t="shared" si="6"/>
        <v>6</v>
      </c>
      <c r="J61" s="52">
        <f t="shared" si="6"/>
        <v>6</v>
      </c>
    </row>
    <row r="62" spans="1:10" ht="17.399999999999999" customHeight="1" x14ac:dyDescent="0.2">
      <c r="A62" s="52">
        <f t="shared" si="7"/>
        <v>12</v>
      </c>
      <c r="B62" s="52">
        <f t="shared" si="8"/>
        <v>18</v>
      </c>
      <c r="D62" s="81" t="s">
        <v>174</v>
      </c>
      <c r="E62" s="52">
        <f t="shared" si="5"/>
        <v>6</v>
      </c>
      <c r="F62" s="52">
        <f t="shared" si="5"/>
        <v>6</v>
      </c>
      <c r="G62" s="52"/>
      <c r="H62" s="52">
        <f t="shared" si="6"/>
        <v>6</v>
      </c>
      <c r="I62" s="52">
        <f t="shared" si="6"/>
        <v>6</v>
      </c>
      <c r="J62" s="52">
        <f t="shared" si="6"/>
        <v>6</v>
      </c>
    </row>
  </sheetData>
  <phoneticPr fontId="2" type="noConversion"/>
  <pageMargins left="0.23622047244094491" right="0.23622047244094491" top="0.74803149606299213" bottom="0.74803149606299213" header="0.31496062992125984" footer="0.31496062992125984"/>
  <pageSetup paperSize="9" orientation="landscape" r:id="rId1"/>
  <headerFooter>
    <oddHeader>&amp;C&amp;A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A378F-CC2B-48FB-AA58-F27B42D38BD5}">
  <sheetPr codeName="Sheet3"/>
  <dimension ref="A1:J14"/>
  <sheetViews>
    <sheetView tabSelected="1" workbookViewId="0">
      <selection activeCell="A9" sqref="A9:J14"/>
    </sheetView>
  </sheetViews>
  <sheetFormatPr defaultColWidth="10.44140625" defaultRowHeight="23.1" customHeight="1" x14ac:dyDescent="0.3"/>
  <cols>
    <col min="1" max="1" width="10.109375" style="8" customWidth="1"/>
    <col min="2" max="2" width="10.33203125" style="8" customWidth="1"/>
    <col min="3" max="3" width="9.33203125" style="8" customWidth="1"/>
    <col min="4" max="4" width="9.5546875" style="8" customWidth="1"/>
    <col min="5" max="6" width="15.5546875" style="8" customWidth="1"/>
    <col min="7" max="7" width="4.77734375" style="8" customWidth="1"/>
    <col min="8" max="10" width="16.6640625" style="8" customWidth="1"/>
    <col min="11" max="16384" width="10.44140625" style="8"/>
  </cols>
  <sheetData>
    <row r="1" spans="1:10" ht="23.1" customHeight="1" x14ac:dyDescent="0.3">
      <c r="A1" s="132" t="s">
        <v>92</v>
      </c>
      <c r="B1" s="133" t="s">
        <v>6</v>
      </c>
      <c r="C1" s="133" t="s">
        <v>7</v>
      </c>
      <c r="D1" s="133" t="s">
        <v>8</v>
      </c>
      <c r="E1" s="133" t="s">
        <v>9</v>
      </c>
      <c r="F1" s="132" t="s">
        <v>10</v>
      </c>
      <c r="G1" s="133"/>
      <c r="H1" s="133" t="s">
        <v>11</v>
      </c>
      <c r="I1" s="133" t="s">
        <v>12</v>
      </c>
      <c r="J1" s="133" t="s">
        <v>13</v>
      </c>
    </row>
    <row r="2" spans="1:10" ht="23.1" customHeight="1" x14ac:dyDescent="0.3">
      <c r="A2" s="134" t="s">
        <v>104</v>
      </c>
      <c r="B2" s="135">
        <v>45985</v>
      </c>
      <c r="C2" s="134" t="s">
        <v>15</v>
      </c>
      <c r="D2" s="134" t="s">
        <v>0</v>
      </c>
      <c r="E2" s="134" t="s">
        <v>167</v>
      </c>
      <c r="F2" s="134" t="s">
        <v>167</v>
      </c>
      <c r="G2" s="134" t="s">
        <v>3</v>
      </c>
      <c r="H2" s="134" t="s">
        <v>170</v>
      </c>
      <c r="I2" s="134" t="s">
        <v>168</v>
      </c>
      <c r="J2" s="134" t="s">
        <v>170</v>
      </c>
    </row>
    <row r="4" spans="1:10" ht="23.1" customHeight="1" x14ac:dyDescent="0.3">
      <c r="A4" s="82" t="s">
        <v>92</v>
      </c>
      <c r="B4" s="65" t="s">
        <v>6</v>
      </c>
      <c r="C4" s="65" t="s">
        <v>7</v>
      </c>
      <c r="D4" s="65" t="s">
        <v>8</v>
      </c>
      <c r="E4" s="65" t="s">
        <v>9</v>
      </c>
      <c r="F4" s="82" t="s">
        <v>10</v>
      </c>
      <c r="G4" s="65"/>
      <c r="H4" s="65" t="s">
        <v>11</v>
      </c>
      <c r="I4" s="65" t="s">
        <v>12</v>
      </c>
      <c r="J4" s="65" t="s">
        <v>13</v>
      </c>
    </row>
    <row r="5" spans="1:10" ht="23.1" customHeight="1" x14ac:dyDescent="0.3">
      <c r="A5" s="128" t="s">
        <v>104</v>
      </c>
      <c r="B5" s="129">
        <v>45987</v>
      </c>
      <c r="C5" s="130" t="s">
        <v>15</v>
      </c>
      <c r="D5" s="130" t="s">
        <v>0</v>
      </c>
      <c r="E5" s="130" t="s">
        <v>121</v>
      </c>
      <c r="F5" s="130" t="s">
        <v>121</v>
      </c>
      <c r="G5" s="130" t="s">
        <v>3</v>
      </c>
      <c r="H5" s="130" t="s">
        <v>4</v>
      </c>
      <c r="I5" s="130" t="s">
        <v>179</v>
      </c>
      <c r="J5" s="130" t="s">
        <v>4</v>
      </c>
    </row>
    <row r="6" spans="1:10" ht="23.1" customHeight="1" x14ac:dyDescent="0.3">
      <c r="A6" s="131" t="s">
        <v>104</v>
      </c>
      <c r="B6" s="129">
        <v>45987</v>
      </c>
      <c r="C6" s="130" t="s">
        <v>15</v>
      </c>
      <c r="D6" s="130" t="s">
        <v>1</v>
      </c>
      <c r="E6" s="130" t="s">
        <v>182</v>
      </c>
      <c r="F6" s="130" t="s">
        <v>182</v>
      </c>
      <c r="G6" s="130" t="s">
        <v>3</v>
      </c>
      <c r="H6" s="130" t="s">
        <v>145</v>
      </c>
      <c r="I6" s="130" t="s">
        <v>151</v>
      </c>
      <c r="J6" s="130" t="s">
        <v>145</v>
      </c>
    </row>
    <row r="7" spans="1:10" ht="23.1" customHeight="1" x14ac:dyDescent="0.3">
      <c r="A7" s="131" t="s">
        <v>104</v>
      </c>
      <c r="B7" s="129">
        <v>45987</v>
      </c>
      <c r="C7" s="130" t="s">
        <v>15</v>
      </c>
      <c r="D7" s="130" t="s">
        <v>2</v>
      </c>
      <c r="E7" s="130" t="s">
        <v>176</v>
      </c>
      <c r="F7" s="130" t="s">
        <v>176</v>
      </c>
      <c r="G7" s="130" t="s">
        <v>3</v>
      </c>
      <c r="H7" s="130" t="s">
        <v>150</v>
      </c>
      <c r="I7" s="130" t="s">
        <v>177</v>
      </c>
      <c r="J7" s="130" t="s">
        <v>150</v>
      </c>
    </row>
    <row r="9" spans="1:10" ht="23.1" customHeight="1" x14ac:dyDescent="0.3">
      <c r="A9" s="82" t="s">
        <v>92</v>
      </c>
      <c r="B9" s="65" t="s">
        <v>6</v>
      </c>
      <c r="C9" s="65" t="s">
        <v>7</v>
      </c>
      <c r="D9" s="65" t="s">
        <v>8</v>
      </c>
      <c r="E9" s="65" t="s">
        <v>9</v>
      </c>
      <c r="F9" s="82" t="s">
        <v>10</v>
      </c>
      <c r="G9" s="65"/>
      <c r="H9" s="65" t="s">
        <v>11</v>
      </c>
      <c r="I9" s="65" t="s">
        <v>12</v>
      </c>
      <c r="J9" s="65" t="s">
        <v>13</v>
      </c>
    </row>
    <row r="10" spans="1:10" ht="23.1" customHeight="1" x14ac:dyDescent="0.3">
      <c r="A10" s="134" t="s">
        <v>105</v>
      </c>
      <c r="B10" s="134" t="s">
        <v>275</v>
      </c>
      <c r="C10" s="134" t="s">
        <v>15</v>
      </c>
      <c r="D10" s="134" t="s">
        <v>0</v>
      </c>
      <c r="E10" s="134" t="s">
        <v>280</v>
      </c>
      <c r="F10" s="134" t="s">
        <v>280</v>
      </c>
      <c r="G10" s="134" t="s">
        <v>3</v>
      </c>
      <c r="H10" s="134" t="s">
        <v>279</v>
      </c>
      <c r="I10" s="134" t="s">
        <v>298</v>
      </c>
      <c r="J10" s="134"/>
    </row>
    <row r="11" spans="1:10" ht="23.1" customHeight="1" x14ac:dyDescent="0.3">
      <c r="A11" s="134" t="s">
        <v>105</v>
      </c>
      <c r="B11" s="134" t="s">
        <v>275</v>
      </c>
      <c r="C11" s="134" t="s">
        <v>15</v>
      </c>
      <c r="D11" s="134" t="s">
        <v>1</v>
      </c>
      <c r="E11" s="134" t="s">
        <v>168</v>
      </c>
      <c r="F11" s="134" t="s">
        <v>168</v>
      </c>
      <c r="G11" s="134" t="s">
        <v>3</v>
      </c>
      <c r="H11" s="134" t="s">
        <v>167</v>
      </c>
      <c r="I11" s="134" t="s">
        <v>250</v>
      </c>
      <c r="J11" s="134"/>
    </row>
    <row r="12" spans="1:10" ht="23.1" customHeight="1" x14ac:dyDescent="0.3">
      <c r="A12" s="134" t="s">
        <v>105</v>
      </c>
      <c r="B12" s="134" t="s">
        <v>275</v>
      </c>
      <c r="C12" s="134" t="s">
        <v>16</v>
      </c>
      <c r="D12" s="134" t="s">
        <v>0</v>
      </c>
      <c r="E12" s="134"/>
      <c r="F12" s="134" t="s">
        <v>179</v>
      </c>
      <c r="G12" s="134" t="s">
        <v>3</v>
      </c>
      <c r="H12" s="134" t="s">
        <v>121</v>
      </c>
      <c r="I12" s="134" t="s">
        <v>208</v>
      </c>
      <c r="J12" s="134" t="s">
        <v>121</v>
      </c>
    </row>
    <row r="13" spans="1:10" ht="23.1" customHeight="1" x14ac:dyDescent="0.3">
      <c r="A13" s="134" t="s">
        <v>105</v>
      </c>
      <c r="B13" s="134" t="s">
        <v>275</v>
      </c>
      <c r="C13" s="134" t="s">
        <v>16</v>
      </c>
      <c r="D13" s="134" t="s">
        <v>1</v>
      </c>
      <c r="E13" s="134"/>
      <c r="F13" s="134" t="s">
        <v>151</v>
      </c>
      <c r="G13" s="134" t="s">
        <v>3</v>
      </c>
      <c r="H13" s="134" t="s">
        <v>145</v>
      </c>
      <c r="I13" s="134" t="s">
        <v>221</v>
      </c>
      <c r="J13" s="134" t="s">
        <v>145</v>
      </c>
    </row>
    <row r="14" spans="1:10" ht="23.1" customHeight="1" x14ac:dyDescent="0.3">
      <c r="A14" s="134" t="s">
        <v>105</v>
      </c>
      <c r="B14" s="134" t="s">
        <v>275</v>
      </c>
      <c r="C14" s="134" t="s">
        <v>16</v>
      </c>
      <c r="D14" s="134" t="s">
        <v>2</v>
      </c>
      <c r="E14" s="134" t="s">
        <v>177</v>
      </c>
      <c r="F14" s="134" t="s">
        <v>177</v>
      </c>
      <c r="G14" s="134" t="s">
        <v>3</v>
      </c>
      <c r="H14" s="134" t="s">
        <v>150</v>
      </c>
      <c r="I14" s="134" t="s">
        <v>250</v>
      </c>
      <c r="J14" s="134" t="s">
        <v>150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76DC5-76D9-4547-AD58-AEB94113D00C}">
  <sheetPr codeName="Sheet12"/>
  <dimension ref="A1:P45"/>
  <sheetViews>
    <sheetView workbookViewId="0">
      <selection activeCell="O7" sqref="O7"/>
    </sheetView>
  </sheetViews>
  <sheetFormatPr defaultColWidth="8.6640625" defaultRowHeight="21.6" customHeight="1" x14ac:dyDescent="0.3"/>
  <cols>
    <col min="1" max="1" width="10.33203125" style="52" customWidth="1"/>
    <col min="2" max="2" width="12" style="52" customWidth="1"/>
    <col min="3" max="4" width="7.6640625" style="52" customWidth="1"/>
    <col min="5" max="5" width="19.44140625" style="52" customWidth="1"/>
    <col min="6" max="6" width="19.33203125" style="52" customWidth="1"/>
    <col min="7" max="7" width="4.33203125" style="52" customWidth="1"/>
    <col min="8" max="10" width="19.33203125" style="52" customWidth="1"/>
    <col min="11" max="12" width="8.6640625" style="52"/>
    <col min="13" max="13" width="8.33203125" style="52" customWidth="1"/>
    <col min="14" max="16384" width="8.6640625" style="52"/>
  </cols>
  <sheetData>
    <row r="1" spans="1:16" ht="21.6" customHeight="1" x14ac:dyDescent="0.3">
      <c r="A1" s="43" t="s">
        <v>92</v>
      </c>
      <c r="B1" s="44" t="s">
        <v>6</v>
      </c>
      <c r="C1" s="45" t="s">
        <v>7</v>
      </c>
      <c r="D1" s="43" t="s">
        <v>8</v>
      </c>
      <c r="E1" s="43" t="s">
        <v>91</v>
      </c>
      <c r="F1" s="43" t="s">
        <v>10</v>
      </c>
      <c r="G1" s="43"/>
      <c r="H1" s="43" t="s">
        <v>11</v>
      </c>
      <c r="I1" s="43" t="s">
        <v>90</v>
      </c>
      <c r="J1" s="43" t="s">
        <v>99</v>
      </c>
    </row>
    <row r="2" spans="1:16" ht="21.6" customHeight="1" x14ac:dyDescent="0.25">
      <c r="A2" s="47" t="s">
        <v>14</v>
      </c>
      <c r="B2" s="48">
        <v>45866</v>
      </c>
      <c r="C2" s="49" t="s">
        <v>15</v>
      </c>
      <c r="D2" s="48" t="s">
        <v>0</v>
      </c>
      <c r="E2" s="48" t="s">
        <v>161</v>
      </c>
      <c r="F2" s="48" t="s">
        <v>161</v>
      </c>
      <c r="G2" s="48" t="s">
        <v>3</v>
      </c>
      <c r="H2" s="48" t="s">
        <v>162</v>
      </c>
      <c r="I2" s="48" t="s">
        <v>165</v>
      </c>
      <c r="J2" s="48" t="s">
        <v>162</v>
      </c>
      <c r="O2" s="47" t="s">
        <v>165</v>
      </c>
      <c r="P2" s="46" t="s">
        <v>49</v>
      </c>
    </row>
    <row r="3" spans="1:16" ht="21.6" customHeight="1" x14ac:dyDescent="0.25">
      <c r="A3" s="47"/>
      <c r="B3" s="48">
        <f>B2</f>
        <v>45866</v>
      </c>
      <c r="C3" s="49" t="s">
        <v>15</v>
      </c>
      <c r="D3" s="48" t="s">
        <v>1</v>
      </c>
      <c r="E3" s="48" t="s">
        <v>164</v>
      </c>
      <c r="F3" s="48" t="s">
        <v>164</v>
      </c>
      <c r="G3" s="48" t="s">
        <v>3</v>
      </c>
      <c r="H3" s="48" t="s">
        <v>163</v>
      </c>
      <c r="I3" s="48" t="s">
        <v>165</v>
      </c>
      <c r="J3" s="48" t="s">
        <v>163</v>
      </c>
      <c r="O3" s="47" t="s">
        <v>163</v>
      </c>
      <c r="P3" s="46" t="s">
        <v>50</v>
      </c>
    </row>
    <row r="4" spans="1:16" ht="21.6" customHeight="1" x14ac:dyDescent="0.25">
      <c r="A4" s="79" t="s">
        <v>18</v>
      </c>
      <c r="B4" s="78">
        <f>B2+7</f>
        <v>45873</v>
      </c>
      <c r="C4" s="77" t="s">
        <v>15</v>
      </c>
      <c r="D4" s="77" t="s">
        <v>0</v>
      </c>
      <c r="E4" s="77" t="s">
        <v>165</v>
      </c>
      <c r="F4" s="77" t="s">
        <v>165</v>
      </c>
      <c r="G4" s="77" t="s">
        <v>3</v>
      </c>
      <c r="H4" s="77" t="s">
        <v>164</v>
      </c>
      <c r="I4" s="77" t="s">
        <v>162</v>
      </c>
      <c r="J4" s="77" t="s">
        <v>164</v>
      </c>
      <c r="O4" s="47" t="s">
        <v>161</v>
      </c>
      <c r="P4" s="46" t="s">
        <v>52</v>
      </c>
    </row>
    <row r="5" spans="1:16" ht="21.6" customHeight="1" x14ac:dyDescent="0.25">
      <c r="A5" s="79"/>
      <c r="B5" s="78">
        <f>B4</f>
        <v>45873</v>
      </c>
      <c r="C5" s="77" t="s">
        <v>15</v>
      </c>
      <c r="D5" s="77" t="s">
        <v>1</v>
      </c>
      <c r="E5" s="77" t="s">
        <v>163</v>
      </c>
      <c r="F5" s="77" t="s">
        <v>163</v>
      </c>
      <c r="G5" s="77" t="s">
        <v>3</v>
      </c>
      <c r="H5" s="77" t="s">
        <v>161</v>
      </c>
      <c r="I5" s="77" t="s">
        <v>162</v>
      </c>
      <c r="J5" s="77" t="s">
        <v>161</v>
      </c>
      <c r="O5" s="47" t="s">
        <v>162</v>
      </c>
      <c r="P5" s="46" t="s">
        <v>56</v>
      </c>
    </row>
    <row r="6" spans="1:16" ht="21.6" customHeight="1" x14ac:dyDescent="0.25">
      <c r="A6" s="47" t="s">
        <v>19</v>
      </c>
      <c r="B6" s="48">
        <f>B4+7</f>
        <v>45880</v>
      </c>
      <c r="C6" s="49" t="s">
        <v>15</v>
      </c>
      <c r="D6" s="48" t="s">
        <v>0</v>
      </c>
      <c r="E6" s="48" t="s">
        <v>163</v>
      </c>
      <c r="F6" s="48" t="s">
        <v>163</v>
      </c>
      <c r="G6" s="48" t="s">
        <v>3</v>
      </c>
      <c r="H6" s="48" t="s">
        <v>162</v>
      </c>
      <c r="I6" s="48" t="s">
        <v>164</v>
      </c>
      <c r="J6" s="48" t="s">
        <v>162</v>
      </c>
      <c r="O6" s="47" t="s">
        <v>164</v>
      </c>
      <c r="P6" s="46" t="s">
        <v>68</v>
      </c>
    </row>
    <row r="7" spans="1:16" ht="21.6" customHeight="1" x14ac:dyDescent="0.3">
      <c r="A7" s="47"/>
      <c r="B7" s="48">
        <f>B6</f>
        <v>45880</v>
      </c>
      <c r="C7" s="49" t="s">
        <v>15</v>
      </c>
      <c r="D7" s="48" t="s">
        <v>1</v>
      </c>
      <c r="E7" s="48" t="s">
        <v>165</v>
      </c>
      <c r="F7" s="48" t="s">
        <v>165</v>
      </c>
      <c r="G7" s="48" t="s">
        <v>3</v>
      </c>
      <c r="H7" s="48" t="s">
        <v>161</v>
      </c>
      <c r="I7" s="48" t="s">
        <v>164</v>
      </c>
      <c r="J7" s="48" t="s">
        <v>161</v>
      </c>
    </row>
    <row r="8" spans="1:16" ht="21.6" customHeight="1" x14ac:dyDescent="0.3">
      <c r="A8" s="79" t="s">
        <v>20</v>
      </c>
      <c r="B8" s="78">
        <f>B6+7</f>
        <v>45887</v>
      </c>
      <c r="C8" s="77" t="s">
        <v>15</v>
      </c>
      <c r="D8" s="77" t="s">
        <v>0</v>
      </c>
      <c r="E8" s="77" t="s">
        <v>161</v>
      </c>
      <c r="F8" s="77" t="s">
        <v>161</v>
      </c>
      <c r="G8" s="77" t="s">
        <v>3</v>
      </c>
      <c r="H8" s="77" t="s">
        <v>164</v>
      </c>
      <c r="I8" s="77" t="s">
        <v>163</v>
      </c>
      <c r="J8" s="77" t="s">
        <v>164</v>
      </c>
    </row>
    <row r="9" spans="1:16" ht="21.6" customHeight="1" x14ac:dyDescent="0.3">
      <c r="A9" s="79"/>
      <c r="B9" s="78">
        <f>B8</f>
        <v>45887</v>
      </c>
      <c r="C9" s="77" t="s">
        <v>15</v>
      </c>
      <c r="D9" s="77" t="s">
        <v>1</v>
      </c>
      <c r="E9" s="77" t="s">
        <v>162</v>
      </c>
      <c r="F9" s="77" t="s">
        <v>162</v>
      </c>
      <c r="G9" s="77" t="s">
        <v>3</v>
      </c>
      <c r="H9" s="77" t="s">
        <v>165</v>
      </c>
      <c r="I9" s="77" t="s">
        <v>163</v>
      </c>
      <c r="J9" s="77" t="s">
        <v>165</v>
      </c>
    </row>
    <row r="10" spans="1:16" ht="21.6" customHeight="1" x14ac:dyDescent="0.3">
      <c r="A10" s="47" t="s">
        <v>21</v>
      </c>
      <c r="B10" s="48">
        <f>B8+7</f>
        <v>45894</v>
      </c>
      <c r="C10" s="49" t="s">
        <v>15</v>
      </c>
      <c r="D10" s="48" t="s">
        <v>0</v>
      </c>
      <c r="E10" s="48" t="s">
        <v>165</v>
      </c>
      <c r="F10" s="48" t="s">
        <v>165</v>
      </c>
      <c r="G10" s="48" t="s">
        <v>3</v>
      </c>
      <c r="H10" s="48" t="s">
        <v>163</v>
      </c>
      <c r="I10" s="48" t="s">
        <v>161</v>
      </c>
      <c r="J10" s="48" t="s">
        <v>163</v>
      </c>
    </row>
    <row r="11" spans="1:16" ht="21.6" customHeight="1" x14ac:dyDescent="0.25">
      <c r="A11" s="47"/>
      <c r="B11" s="48">
        <f>B10</f>
        <v>45894</v>
      </c>
      <c r="C11" s="49" t="s">
        <v>15</v>
      </c>
      <c r="D11" s="48" t="s">
        <v>1</v>
      </c>
      <c r="E11" s="48" t="s">
        <v>164</v>
      </c>
      <c r="F11" s="48" t="s">
        <v>164</v>
      </c>
      <c r="G11" s="48" t="s">
        <v>3</v>
      </c>
      <c r="H11" s="48" t="s">
        <v>162</v>
      </c>
      <c r="I11" s="48" t="s">
        <v>161</v>
      </c>
      <c r="J11" s="48" t="s">
        <v>162</v>
      </c>
      <c r="L11" s="51"/>
      <c r="M11" s="51"/>
    </row>
    <row r="12" spans="1:16" ht="21.6" customHeight="1" x14ac:dyDescent="0.3">
      <c r="A12" s="79" t="s">
        <v>22</v>
      </c>
      <c r="B12" s="78">
        <f>B10+7</f>
        <v>45901</v>
      </c>
      <c r="C12" s="77" t="s">
        <v>15</v>
      </c>
      <c r="D12" s="77" t="s">
        <v>0</v>
      </c>
      <c r="E12" s="77" t="s">
        <v>162</v>
      </c>
      <c r="F12" s="77" t="s">
        <v>162</v>
      </c>
      <c r="G12" s="77" t="s">
        <v>3</v>
      </c>
      <c r="H12" s="77" t="s">
        <v>161</v>
      </c>
      <c r="I12" s="77" t="s">
        <v>165</v>
      </c>
      <c r="J12" s="77" t="s">
        <v>161</v>
      </c>
    </row>
    <row r="13" spans="1:16" ht="21.6" customHeight="1" x14ac:dyDescent="0.3">
      <c r="A13" s="79"/>
      <c r="B13" s="78">
        <f>B12</f>
        <v>45901</v>
      </c>
      <c r="C13" s="77" t="s">
        <v>15</v>
      </c>
      <c r="D13" s="77" t="s">
        <v>1</v>
      </c>
      <c r="E13" s="77" t="s">
        <v>163</v>
      </c>
      <c r="F13" s="77" t="s">
        <v>163</v>
      </c>
      <c r="G13" s="77" t="s">
        <v>3</v>
      </c>
      <c r="H13" s="77" t="s">
        <v>164</v>
      </c>
      <c r="I13" s="77" t="s">
        <v>165</v>
      </c>
      <c r="J13" s="77" t="s">
        <v>164</v>
      </c>
    </row>
    <row r="14" spans="1:16" ht="21.6" customHeight="1" x14ac:dyDescent="0.3">
      <c r="A14" s="47" t="s">
        <v>23</v>
      </c>
      <c r="B14" s="48">
        <f>B12+7</f>
        <v>45908</v>
      </c>
      <c r="C14" s="49" t="s">
        <v>15</v>
      </c>
      <c r="D14" s="48" t="s">
        <v>0</v>
      </c>
      <c r="E14" s="48" t="s">
        <v>164</v>
      </c>
      <c r="F14" s="48" t="s">
        <v>164</v>
      </c>
      <c r="G14" s="48" t="s">
        <v>3</v>
      </c>
      <c r="H14" s="48" t="s">
        <v>165</v>
      </c>
      <c r="I14" s="48" t="s">
        <v>162</v>
      </c>
      <c r="J14" s="48" t="s">
        <v>165</v>
      </c>
    </row>
    <row r="15" spans="1:16" ht="21.6" customHeight="1" x14ac:dyDescent="0.3">
      <c r="A15" s="47"/>
      <c r="B15" s="48">
        <f>B14</f>
        <v>45908</v>
      </c>
      <c r="C15" s="49" t="s">
        <v>15</v>
      </c>
      <c r="D15" s="48" t="s">
        <v>1</v>
      </c>
      <c r="E15" s="48" t="s">
        <v>161</v>
      </c>
      <c r="F15" s="48" t="s">
        <v>161</v>
      </c>
      <c r="G15" s="48" t="s">
        <v>3</v>
      </c>
      <c r="H15" s="48" t="s">
        <v>163</v>
      </c>
      <c r="I15" s="48" t="s">
        <v>162</v>
      </c>
      <c r="J15" s="48" t="s">
        <v>163</v>
      </c>
    </row>
    <row r="16" spans="1:16" ht="21.6" customHeight="1" x14ac:dyDescent="0.3">
      <c r="A16" s="79" t="s">
        <v>24</v>
      </c>
      <c r="B16" s="78">
        <f>B14+7</f>
        <v>45915</v>
      </c>
      <c r="C16" s="77" t="s">
        <v>15</v>
      </c>
      <c r="D16" s="77" t="s">
        <v>0</v>
      </c>
      <c r="E16" s="77" t="s">
        <v>162</v>
      </c>
      <c r="F16" s="77" t="s">
        <v>162</v>
      </c>
      <c r="G16" s="77" t="s">
        <v>3</v>
      </c>
      <c r="H16" s="77" t="s">
        <v>163</v>
      </c>
      <c r="I16" s="77" t="s">
        <v>164</v>
      </c>
      <c r="J16" s="77" t="s">
        <v>163</v>
      </c>
    </row>
    <row r="17" spans="1:13" ht="21.6" customHeight="1" x14ac:dyDescent="0.3">
      <c r="A17" s="79"/>
      <c r="B17" s="78">
        <f>B16</f>
        <v>45915</v>
      </c>
      <c r="C17" s="77" t="s">
        <v>15</v>
      </c>
      <c r="D17" s="77" t="s">
        <v>1</v>
      </c>
      <c r="E17" s="77" t="s">
        <v>161</v>
      </c>
      <c r="F17" s="77" t="s">
        <v>161</v>
      </c>
      <c r="G17" s="77" t="s">
        <v>3</v>
      </c>
      <c r="H17" s="77" t="s">
        <v>165</v>
      </c>
      <c r="I17" s="77" t="s">
        <v>164</v>
      </c>
      <c r="J17" s="77" t="s">
        <v>165</v>
      </c>
    </row>
    <row r="18" spans="1:13" ht="21.6" customHeight="1" x14ac:dyDescent="0.3">
      <c r="A18" s="91"/>
      <c r="B18" s="92">
        <f>B16+7</f>
        <v>45922</v>
      </c>
      <c r="C18" s="93"/>
      <c r="D18" s="93"/>
      <c r="E18" s="93" t="s">
        <v>158</v>
      </c>
      <c r="F18" s="93"/>
      <c r="G18" s="93"/>
      <c r="H18" s="93"/>
      <c r="I18" s="93"/>
      <c r="J18" s="93"/>
    </row>
    <row r="19" spans="1:13" ht="21.6" customHeight="1" x14ac:dyDescent="0.3">
      <c r="A19" s="91"/>
      <c r="B19" s="92">
        <f>B18+7</f>
        <v>45929</v>
      </c>
      <c r="C19" s="93"/>
      <c r="D19" s="93"/>
      <c r="E19" s="93" t="s">
        <v>158</v>
      </c>
      <c r="F19" s="93"/>
      <c r="G19" s="93"/>
      <c r="H19" s="93"/>
      <c r="I19" s="93"/>
      <c r="J19" s="93"/>
    </row>
    <row r="20" spans="1:13" ht="21.6" customHeight="1" x14ac:dyDescent="0.3">
      <c r="A20" s="47" t="s">
        <v>26</v>
      </c>
      <c r="B20" s="48">
        <f>B19+7</f>
        <v>45936</v>
      </c>
      <c r="C20" s="47" t="s">
        <v>15</v>
      </c>
      <c r="D20" s="48" t="s">
        <v>0</v>
      </c>
      <c r="E20" s="48" t="s">
        <v>164</v>
      </c>
      <c r="F20" s="48" t="s">
        <v>164</v>
      </c>
      <c r="G20" s="48" t="s">
        <v>3</v>
      </c>
      <c r="H20" s="48" t="s">
        <v>161</v>
      </c>
      <c r="I20" s="48" t="s">
        <v>163</v>
      </c>
      <c r="J20" s="48" t="s">
        <v>161</v>
      </c>
    </row>
    <row r="21" spans="1:13" ht="21.6" customHeight="1" x14ac:dyDescent="0.3">
      <c r="A21" s="47"/>
      <c r="B21" s="48">
        <f>B20</f>
        <v>45936</v>
      </c>
      <c r="C21" s="47" t="s">
        <v>15</v>
      </c>
      <c r="D21" s="48" t="s">
        <v>1</v>
      </c>
      <c r="E21" s="48" t="s">
        <v>165</v>
      </c>
      <c r="F21" s="48" t="s">
        <v>165</v>
      </c>
      <c r="G21" s="48" t="s">
        <v>3</v>
      </c>
      <c r="H21" s="48" t="s">
        <v>162</v>
      </c>
      <c r="I21" s="48" t="s">
        <v>163</v>
      </c>
      <c r="J21" s="48" t="s">
        <v>162</v>
      </c>
    </row>
    <row r="22" spans="1:13" ht="21.6" customHeight="1" x14ac:dyDescent="0.3">
      <c r="A22" s="79" t="s">
        <v>27</v>
      </c>
      <c r="B22" s="78">
        <f>B20+7</f>
        <v>45943</v>
      </c>
      <c r="C22" s="77" t="s">
        <v>15</v>
      </c>
      <c r="D22" s="77" t="s">
        <v>0</v>
      </c>
      <c r="E22" s="77" t="s">
        <v>163</v>
      </c>
      <c r="F22" s="77" t="s">
        <v>163</v>
      </c>
      <c r="G22" s="77" t="s">
        <v>3</v>
      </c>
      <c r="H22" s="77" t="s">
        <v>165</v>
      </c>
      <c r="I22" s="77" t="s">
        <v>161</v>
      </c>
      <c r="J22" s="77" t="s">
        <v>165</v>
      </c>
    </row>
    <row r="23" spans="1:13" ht="21.6" customHeight="1" x14ac:dyDescent="0.3">
      <c r="A23" s="79"/>
      <c r="B23" s="78">
        <f>B22</f>
        <v>45943</v>
      </c>
      <c r="C23" s="77" t="s">
        <v>15</v>
      </c>
      <c r="D23" s="77" t="s">
        <v>1</v>
      </c>
      <c r="E23" s="77" t="s">
        <v>162</v>
      </c>
      <c r="F23" s="77" t="s">
        <v>162</v>
      </c>
      <c r="G23" s="77" t="s">
        <v>3</v>
      </c>
      <c r="H23" s="77" t="s">
        <v>164</v>
      </c>
      <c r="I23" s="77" t="s">
        <v>161</v>
      </c>
      <c r="J23" s="77" t="s">
        <v>164</v>
      </c>
    </row>
    <row r="24" spans="1:13" ht="21.6" customHeight="1" x14ac:dyDescent="0.3">
      <c r="A24" s="47" t="s">
        <v>28</v>
      </c>
      <c r="B24" s="48">
        <f>B22+7</f>
        <v>45950</v>
      </c>
      <c r="C24" s="47" t="s">
        <v>15</v>
      </c>
      <c r="D24" s="48" t="s">
        <v>0</v>
      </c>
      <c r="E24" s="48" t="s">
        <v>161</v>
      </c>
      <c r="F24" s="48" t="s">
        <v>161</v>
      </c>
      <c r="G24" s="48" t="s">
        <v>3</v>
      </c>
      <c r="H24" s="48" t="s">
        <v>162</v>
      </c>
      <c r="I24" s="48" t="s">
        <v>165</v>
      </c>
      <c r="J24" s="48" t="s">
        <v>162</v>
      </c>
    </row>
    <row r="25" spans="1:13" ht="21.6" customHeight="1" x14ac:dyDescent="0.25">
      <c r="A25" s="47"/>
      <c r="B25" s="48">
        <f>B24</f>
        <v>45950</v>
      </c>
      <c r="C25" s="47" t="s">
        <v>15</v>
      </c>
      <c r="D25" s="48" t="s">
        <v>1</v>
      </c>
      <c r="E25" s="48" t="s">
        <v>164</v>
      </c>
      <c r="F25" s="48" t="s">
        <v>164</v>
      </c>
      <c r="G25" s="48" t="s">
        <v>3</v>
      </c>
      <c r="H25" s="48" t="s">
        <v>163</v>
      </c>
      <c r="I25" s="48" t="s">
        <v>165</v>
      </c>
      <c r="J25" s="48" t="s">
        <v>163</v>
      </c>
      <c r="L25" s="46"/>
      <c r="M25" s="46"/>
    </row>
    <row r="26" spans="1:13" ht="21.6" customHeight="1" x14ac:dyDescent="0.25">
      <c r="A26" s="79" t="s">
        <v>29</v>
      </c>
      <c r="B26" s="78">
        <f>B24+7</f>
        <v>45957</v>
      </c>
      <c r="C26" s="77" t="s">
        <v>15</v>
      </c>
      <c r="D26" s="77" t="s">
        <v>0</v>
      </c>
      <c r="E26" s="77" t="s">
        <v>165</v>
      </c>
      <c r="F26" s="77" t="s">
        <v>165</v>
      </c>
      <c r="G26" s="77" t="s">
        <v>3</v>
      </c>
      <c r="H26" s="77" t="s">
        <v>164</v>
      </c>
      <c r="I26" s="77" t="s">
        <v>162</v>
      </c>
      <c r="J26" s="77" t="s">
        <v>164</v>
      </c>
      <c r="L26" s="46"/>
      <c r="M26" s="46"/>
    </row>
    <row r="27" spans="1:13" ht="21.6" customHeight="1" x14ac:dyDescent="0.25">
      <c r="A27" s="79"/>
      <c r="B27" s="78">
        <f>B26</f>
        <v>45957</v>
      </c>
      <c r="C27" s="77" t="s">
        <v>15</v>
      </c>
      <c r="D27" s="77" t="s">
        <v>1</v>
      </c>
      <c r="E27" s="77" t="s">
        <v>163</v>
      </c>
      <c r="F27" s="77" t="s">
        <v>163</v>
      </c>
      <c r="G27" s="77" t="s">
        <v>3</v>
      </c>
      <c r="H27" s="77" t="s">
        <v>161</v>
      </c>
      <c r="I27" s="77" t="s">
        <v>162</v>
      </c>
      <c r="J27" s="77" t="s">
        <v>161</v>
      </c>
      <c r="L27" s="46"/>
      <c r="M27" s="46"/>
    </row>
    <row r="28" spans="1:13" ht="21.6" customHeight="1" x14ac:dyDescent="0.3">
      <c r="A28" s="47" t="s">
        <v>30</v>
      </c>
      <c r="B28" s="48">
        <f>B26+7</f>
        <v>45964</v>
      </c>
      <c r="C28" s="47" t="s">
        <v>53</v>
      </c>
      <c r="D28" s="48" t="s">
        <v>0</v>
      </c>
      <c r="E28" s="48" t="s">
        <v>163</v>
      </c>
      <c r="F28" s="48" t="s">
        <v>163</v>
      </c>
      <c r="G28" s="48" t="s">
        <v>3</v>
      </c>
      <c r="H28" s="48" t="s">
        <v>162</v>
      </c>
      <c r="I28" s="48" t="s">
        <v>164</v>
      </c>
      <c r="J28" s="48" t="s">
        <v>162</v>
      </c>
    </row>
    <row r="29" spans="1:13" ht="21.6" customHeight="1" x14ac:dyDescent="0.3">
      <c r="A29" s="47"/>
      <c r="B29" s="48">
        <f>B28</f>
        <v>45964</v>
      </c>
      <c r="C29" s="47" t="s">
        <v>15</v>
      </c>
      <c r="D29" s="48" t="s">
        <v>1</v>
      </c>
      <c r="E29" s="48" t="s">
        <v>165</v>
      </c>
      <c r="F29" s="48" t="s">
        <v>165</v>
      </c>
      <c r="G29" s="48" t="s">
        <v>3</v>
      </c>
      <c r="H29" s="48" t="s">
        <v>161</v>
      </c>
      <c r="I29" s="48" t="s">
        <v>164</v>
      </c>
      <c r="J29" s="48" t="s">
        <v>161</v>
      </c>
    </row>
    <row r="30" spans="1:13" ht="21.6" customHeight="1" x14ac:dyDescent="0.3">
      <c r="A30" s="79" t="s">
        <v>31</v>
      </c>
      <c r="B30" s="78">
        <f>B28+7</f>
        <v>45971</v>
      </c>
      <c r="C30" s="77" t="s">
        <v>15</v>
      </c>
      <c r="D30" s="77" t="s">
        <v>0</v>
      </c>
      <c r="E30" s="77" t="s">
        <v>161</v>
      </c>
      <c r="F30" s="77" t="s">
        <v>161</v>
      </c>
      <c r="G30" s="78" t="s">
        <v>3</v>
      </c>
      <c r="H30" s="77" t="s">
        <v>164</v>
      </c>
      <c r="I30" s="77" t="s">
        <v>163</v>
      </c>
      <c r="J30" s="77" t="s">
        <v>164</v>
      </c>
    </row>
    <row r="31" spans="1:13" ht="21.6" customHeight="1" x14ac:dyDescent="0.3">
      <c r="A31" s="79"/>
      <c r="B31" s="78">
        <f>B30</f>
        <v>45971</v>
      </c>
      <c r="C31" s="77" t="s">
        <v>15</v>
      </c>
      <c r="D31" s="77" t="s">
        <v>1</v>
      </c>
      <c r="E31" s="77" t="s">
        <v>162</v>
      </c>
      <c r="F31" s="77" t="s">
        <v>162</v>
      </c>
      <c r="G31" s="78" t="s">
        <v>3</v>
      </c>
      <c r="H31" s="77" t="s">
        <v>165</v>
      </c>
      <c r="I31" s="77" t="s">
        <v>163</v>
      </c>
      <c r="J31" s="77" t="s">
        <v>165</v>
      </c>
    </row>
    <row r="32" spans="1:13" ht="21.6" customHeight="1" x14ac:dyDescent="0.3">
      <c r="A32" s="47" t="s">
        <v>32</v>
      </c>
      <c r="B32" s="48">
        <f>B30+7</f>
        <v>45978</v>
      </c>
      <c r="C32" s="47" t="s">
        <v>15</v>
      </c>
      <c r="D32" s="48" t="s">
        <v>0</v>
      </c>
      <c r="E32" s="48" t="s">
        <v>165</v>
      </c>
      <c r="F32" s="48" t="s">
        <v>165</v>
      </c>
      <c r="G32" s="48" t="s">
        <v>3</v>
      </c>
      <c r="H32" s="48" t="s">
        <v>163</v>
      </c>
      <c r="I32" s="48" t="s">
        <v>161</v>
      </c>
      <c r="J32" s="48" t="s">
        <v>163</v>
      </c>
    </row>
    <row r="33" spans="1:14" ht="21.6" customHeight="1" x14ac:dyDescent="0.3">
      <c r="A33" s="47"/>
      <c r="B33" s="48">
        <f>B32</f>
        <v>45978</v>
      </c>
      <c r="C33" s="47" t="s">
        <v>15</v>
      </c>
      <c r="D33" s="48" t="s">
        <v>1</v>
      </c>
      <c r="E33" s="48" t="s">
        <v>164</v>
      </c>
      <c r="F33" s="48" t="s">
        <v>164</v>
      </c>
      <c r="G33" s="48" t="s">
        <v>3</v>
      </c>
      <c r="H33" s="48" t="s">
        <v>162</v>
      </c>
      <c r="I33" s="48" t="s">
        <v>161</v>
      </c>
      <c r="J33" s="48" t="s">
        <v>162</v>
      </c>
    </row>
    <row r="34" spans="1:14" s="46" customFormat="1" ht="16.5" customHeight="1" x14ac:dyDescent="0.25">
      <c r="A34" s="146" t="s">
        <v>14</v>
      </c>
      <c r="B34" s="44">
        <f>B32+7</f>
        <v>45985</v>
      </c>
      <c r="C34" s="45" t="s">
        <v>15</v>
      </c>
      <c r="D34" s="43" t="s">
        <v>0</v>
      </c>
      <c r="E34" s="43" t="str">
        <f>F34</f>
        <v>1st</v>
      </c>
      <c r="F34" s="43" t="s">
        <v>106</v>
      </c>
      <c r="G34" s="43" t="s">
        <v>3</v>
      </c>
      <c r="H34" s="43" t="s">
        <v>107</v>
      </c>
      <c r="I34" s="43" t="s">
        <v>160</v>
      </c>
      <c r="J34" s="43" t="s">
        <v>160</v>
      </c>
      <c r="N34" s="52"/>
    </row>
    <row r="35" spans="1:14" s="46" customFormat="1" ht="16.5" customHeight="1" x14ac:dyDescent="0.25">
      <c r="A35" s="146"/>
      <c r="B35" s="44">
        <f>B34</f>
        <v>45985</v>
      </c>
      <c r="C35" s="45" t="s">
        <v>15</v>
      </c>
      <c r="D35" s="43" t="s">
        <v>1</v>
      </c>
      <c r="E35" s="43"/>
      <c r="F35" s="43" t="s">
        <v>108</v>
      </c>
      <c r="G35" s="43" t="s">
        <v>3</v>
      </c>
      <c r="H35" s="43" t="s">
        <v>109</v>
      </c>
      <c r="I35" s="43" t="s">
        <v>160</v>
      </c>
      <c r="J35" s="43" t="s">
        <v>160</v>
      </c>
      <c r="N35" s="52"/>
    </row>
    <row r="36" spans="1:14" s="46" customFormat="1" ht="16.5" customHeight="1" x14ac:dyDescent="0.25">
      <c r="A36" s="43" t="s">
        <v>104</v>
      </c>
      <c r="B36" s="44">
        <f>B35+7</f>
        <v>45992</v>
      </c>
      <c r="C36" s="45" t="s">
        <v>15</v>
      </c>
      <c r="D36" s="43" t="s">
        <v>0</v>
      </c>
      <c r="E36" s="43" t="str">
        <f>F36</f>
        <v>Loser 1v2</v>
      </c>
      <c r="F36" s="43" t="s">
        <v>110</v>
      </c>
      <c r="G36" s="43" t="s">
        <v>3</v>
      </c>
      <c r="H36" s="43" t="s">
        <v>111</v>
      </c>
      <c r="I36" s="43" t="s">
        <v>112</v>
      </c>
      <c r="J36" s="43" t="str">
        <f>H36</f>
        <v>Winner 3v4</v>
      </c>
      <c r="N36" s="52"/>
    </row>
    <row r="37" spans="1:14" s="46" customFormat="1" ht="16.5" customHeight="1" x14ac:dyDescent="0.25">
      <c r="A37" s="43"/>
      <c r="B37" s="44"/>
      <c r="C37" s="45"/>
      <c r="D37" s="43"/>
      <c r="E37" s="43"/>
      <c r="F37" s="43"/>
      <c r="G37" s="43"/>
      <c r="H37" s="43"/>
      <c r="I37" s="43"/>
      <c r="J37" s="43"/>
      <c r="N37" s="52"/>
    </row>
    <row r="38" spans="1:14" s="46" customFormat="1" ht="16.5" customHeight="1" x14ac:dyDescent="0.25">
      <c r="A38" s="43" t="s">
        <v>105</v>
      </c>
      <c r="B38" s="94" t="s">
        <v>159</v>
      </c>
      <c r="C38" s="45" t="s">
        <v>62</v>
      </c>
      <c r="D38" s="43" t="s">
        <v>0</v>
      </c>
      <c r="E38" s="43" t="str">
        <f>F38</f>
        <v>Winner prelim</v>
      </c>
      <c r="F38" s="43" t="s">
        <v>113</v>
      </c>
      <c r="G38" s="43" t="s">
        <v>3</v>
      </c>
      <c r="H38" s="43" t="s">
        <v>114</v>
      </c>
      <c r="I38" s="43"/>
      <c r="J38" s="43" t="str">
        <f>H38</f>
        <v>Winner Semi</v>
      </c>
      <c r="N38" s="52"/>
    </row>
    <row r="39" spans="1:14" s="46" customFormat="1" ht="16.5" customHeight="1" x14ac:dyDescent="0.25">
      <c r="A39" s="52"/>
      <c r="B39" s="53"/>
      <c r="C39" s="54"/>
      <c r="D39" s="52"/>
      <c r="E39" s="52"/>
      <c r="F39" s="52"/>
      <c r="G39" s="52"/>
      <c r="H39" s="52"/>
      <c r="I39" s="52"/>
      <c r="J39" s="52"/>
      <c r="N39" s="52"/>
    </row>
    <row r="40" spans="1:14" s="46" customFormat="1" ht="16.5" customHeight="1" x14ac:dyDescent="0.25">
      <c r="A40" s="22" t="s">
        <v>89</v>
      </c>
      <c r="B40" s="22" t="s">
        <v>66</v>
      </c>
      <c r="C40" s="11"/>
      <c r="D40" s="80" t="s">
        <v>134</v>
      </c>
      <c r="E40" s="11" t="s">
        <v>63</v>
      </c>
      <c r="F40" s="11" t="s">
        <v>10</v>
      </c>
      <c r="G40" s="11"/>
      <c r="H40" s="11" t="s">
        <v>11</v>
      </c>
      <c r="I40" s="11" t="s">
        <v>64</v>
      </c>
      <c r="J40" s="11" t="s">
        <v>65</v>
      </c>
      <c r="K40" s="52"/>
      <c r="L40" s="52"/>
      <c r="M40" s="52"/>
      <c r="N40" s="52"/>
    </row>
    <row r="41" spans="1:14" s="46" customFormat="1" ht="16.5" customHeight="1" x14ac:dyDescent="0.25">
      <c r="A41" s="52">
        <f>F41+H41</f>
        <v>12</v>
      </c>
      <c r="B41" s="52">
        <f>E41+I41+J41</f>
        <v>18</v>
      </c>
      <c r="C41" s="52"/>
      <c r="D41" s="81" t="s">
        <v>165</v>
      </c>
      <c r="E41" s="52">
        <f>COUNTIF(E$1:E$33,$D41)</f>
        <v>7</v>
      </c>
      <c r="F41" s="52">
        <f t="shared" ref="F41:J41" si="0">COUNTIF(F$1:F$33,$D41)</f>
        <v>7</v>
      </c>
      <c r="G41" s="52"/>
      <c r="H41" s="52">
        <f t="shared" si="0"/>
        <v>5</v>
      </c>
      <c r="I41" s="52">
        <f t="shared" si="0"/>
        <v>6</v>
      </c>
      <c r="J41" s="52">
        <f t="shared" si="0"/>
        <v>5</v>
      </c>
      <c r="K41" s="51"/>
      <c r="L41" s="51"/>
      <c r="M41" s="51"/>
      <c r="N41" s="52"/>
    </row>
    <row r="42" spans="1:14" s="46" customFormat="1" ht="16.5" customHeight="1" x14ac:dyDescent="0.25">
      <c r="A42" s="52">
        <f t="shared" ref="A42:A45" si="1">F42+H42</f>
        <v>12</v>
      </c>
      <c r="B42" s="52">
        <f t="shared" ref="B42:B45" si="2">E42+I42+J42</f>
        <v>18</v>
      </c>
      <c r="C42" s="52"/>
      <c r="D42" s="81" t="s">
        <v>163</v>
      </c>
      <c r="E42" s="52">
        <f t="shared" ref="E42:J45" si="3">COUNTIF(E$1:E$33,$D42)</f>
        <v>6</v>
      </c>
      <c r="F42" s="52">
        <f t="shared" si="3"/>
        <v>6</v>
      </c>
      <c r="G42" s="52"/>
      <c r="H42" s="52">
        <f t="shared" si="3"/>
        <v>6</v>
      </c>
      <c r="I42" s="52">
        <f t="shared" si="3"/>
        <v>6</v>
      </c>
      <c r="J42" s="52">
        <f t="shared" si="3"/>
        <v>6</v>
      </c>
      <c r="K42" s="51"/>
      <c r="L42" s="51"/>
      <c r="M42" s="51"/>
      <c r="N42" s="52"/>
    </row>
    <row r="43" spans="1:14" s="46" customFormat="1" ht="16.5" customHeight="1" x14ac:dyDescent="0.25">
      <c r="A43" s="52">
        <f t="shared" si="1"/>
        <v>12</v>
      </c>
      <c r="B43" s="52">
        <f t="shared" si="2"/>
        <v>18</v>
      </c>
      <c r="C43" s="52"/>
      <c r="D43" s="81" t="s">
        <v>161</v>
      </c>
      <c r="E43" s="52">
        <f t="shared" si="3"/>
        <v>6</v>
      </c>
      <c r="F43" s="52">
        <f t="shared" si="3"/>
        <v>6</v>
      </c>
      <c r="G43" s="52"/>
      <c r="H43" s="52">
        <f t="shared" si="3"/>
        <v>6</v>
      </c>
      <c r="I43" s="52">
        <f t="shared" si="3"/>
        <v>6</v>
      </c>
      <c r="J43" s="52">
        <f t="shared" si="3"/>
        <v>6</v>
      </c>
      <c r="K43" s="51"/>
      <c r="L43" s="51"/>
      <c r="M43" s="51"/>
      <c r="N43" s="52"/>
    </row>
    <row r="44" spans="1:14" s="46" customFormat="1" ht="16.5" customHeight="1" x14ac:dyDescent="0.25">
      <c r="A44" s="52">
        <f t="shared" si="1"/>
        <v>12</v>
      </c>
      <c r="B44" s="52">
        <f t="shared" si="2"/>
        <v>18</v>
      </c>
      <c r="C44" s="52"/>
      <c r="D44" s="81" t="s">
        <v>162</v>
      </c>
      <c r="E44" s="52">
        <f t="shared" si="3"/>
        <v>5</v>
      </c>
      <c r="F44" s="52">
        <f t="shared" si="3"/>
        <v>5</v>
      </c>
      <c r="G44" s="52"/>
      <c r="H44" s="52">
        <f t="shared" si="3"/>
        <v>7</v>
      </c>
      <c r="I44" s="52">
        <f t="shared" si="3"/>
        <v>6</v>
      </c>
      <c r="J44" s="52">
        <f t="shared" si="3"/>
        <v>7</v>
      </c>
      <c r="K44" s="51"/>
      <c r="L44" s="51"/>
      <c r="M44" s="51"/>
      <c r="N44" s="52"/>
    </row>
    <row r="45" spans="1:14" s="46" customFormat="1" ht="16.5" customHeight="1" x14ac:dyDescent="0.25">
      <c r="A45" s="52">
        <f t="shared" si="1"/>
        <v>12</v>
      </c>
      <c r="B45" s="52">
        <f t="shared" si="2"/>
        <v>18</v>
      </c>
      <c r="C45" s="52"/>
      <c r="D45" s="81" t="s">
        <v>164</v>
      </c>
      <c r="E45" s="52">
        <f t="shared" si="3"/>
        <v>6</v>
      </c>
      <c r="F45" s="52">
        <f t="shared" si="3"/>
        <v>6</v>
      </c>
      <c r="G45" s="52"/>
      <c r="H45" s="52">
        <f t="shared" si="3"/>
        <v>6</v>
      </c>
      <c r="I45" s="52">
        <f t="shared" si="3"/>
        <v>6</v>
      </c>
      <c r="J45" s="52">
        <f t="shared" si="3"/>
        <v>6</v>
      </c>
      <c r="K45" s="51"/>
      <c r="L45" s="51"/>
      <c r="M45" s="51"/>
      <c r="N45" s="52"/>
    </row>
  </sheetData>
  <mergeCells count="1">
    <mergeCell ref="A34:A35"/>
  </mergeCells>
  <pageMargins left="0.62992125984251968" right="0.23622047244094491" top="0.74803149606299213" bottom="0.74803149606299213" header="0.31496062992125984" footer="0.31496062992125984"/>
  <pageSetup paperSize="9" orientation="landscape" r:id="rId1"/>
  <headerFooter>
    <oddHeader>&amp;C&amp;A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24472-9AA0-4066-B670-3A052F16562E}">
  <sheetPr codeName="Sheet7"/>
  <dimension ref="A1:J201"/>
  <sheetViews>
    <sheetView topLeftCell="A179" zoomScale="130" zoomScaleNormal="130" workbookViewId="0">
      <selection activeCell="H51" sqref="H51"/>
    </sheetView>
  </sheetViews>
  <sheetFormatPr defaultColWidth="8.6640625" defaultRowHeight="15" customHeight="1" x14ac:dyDescent="0.3"/>
  <cols>
    <col min="1" max="1" width="12" style="22" customWidth="1"/>
    <col min="2" max="3" width="7.6640625" style="19" customWidth="1"/>
    <col min="4" max="4" width="19.33203125" style="19" customWidth="1"/>
    <col min="5" max="5" width="19.33203125" style="11" customWidth="1"/>
    <col min="6" max="6" width="4.33203125" style="11" customWidth="1"/>
    <col min="7" max="7" width="19.33203125" style="11" customWidth="1"/>
    <col min="8" max="9" width="19.33203125" style="19" customWidth="1"/>
    <col min="10" max="10" width="19.6640625" style="11" bestFit="1" customWidth="1"/>
    <col min="11" max="16384" width="8.6640625" style="11"/>
  </cols>
  <sheetData>
    <row r="1" spans="1:9" ht="15" customHeight="1" x14ac:dyDescent="0.3">
      <c r="A1" s="9" t="s">
        <v>6</v>
      </c>
      <c r="B1" s="9" t="s">
        <v>7</v>
      </c>
      <c r="C1" s="9" t="s">
        <v>8</v>
      </c>
      <c r="D1" s="9" t="s">
        <v>9</v>
      </c>
      <c r="E1" s="9" t="s">
        <v>10</v>
      </c>
      <c r="F1" s="9"/>
      <c r="G1" s="9" t="s">
        <v>11</v>
      </c>
      <c r="H1" s="9" t="s">
        <v>12</v>
      </c>
      <c r="I1" s="9" t="s">
        <v>13</v>
      </c>
    </row>
    <row r="2" spans="1:9" ht="15" customHeight="1" x14ac:dyDescent="0.3">
      <c r="A2" s="13" t="s">
        <v>14</v>
      </c>
      <c r="B2" s="14" t="s">
        <v>15</v>
      </c>
      <c r="C2" s="14" t="s">
        <v>0</v>
      </c>
      <c r="D2" s="14" t="str">
        <f>E2</f>
        <v>T8</v>
      </c>
      <c r="E2" s="15" t="s">
        <v>67</v>
      </c>
      <c r="F2" s="15" t="s">
        <v>3</v>
      </c>
      <c r="G2" s="15" t="s">
        <v>68</v>
      </c>
      <c r="H2" s="14" t="str">
        <f>E3</f>
        <v>T6</v>
      </c>
      <c r="I2" s="14"/>
    </row>
    <row r="3" spans="1:9" ht="15" customHeight="1" x14ac:dyDescent="0.3">
      <c r="A3" s="95">
        <v>45868</v>
      </c>
      <c r="B3" s="14" t="s">
        <v>16</v>
      </c>
      <c r="C3" s="14" t="s">
        <v>0</v>
      </c>
      <c r="D3" s="14"/>
      <c r="E3" s="15" t="s">
        <v>57</v>
      </c>
      <c r="F3" s="15" t="s">
        <v>3</v>
      </c>
      <c r="G3" s="15" t="s">
        <v>50</v>
      </c>
      <c r="H3" s="14" t="str">
        <f>G2</f>
        <v>T7</v>
      </c>
      <c r="I3" s="14"/>
    </row>
    <row r="4" spans="1:9" ht="15" customHeight="1" x14ac:dyDescent="0.3">
      <c r="A4" s="95"/>
      <c r="B4" s="14" t="s">
        <v>17</v>
      </c>
      <c r="C4" s="14" t="s">
        <v>0</v>
      </c>
      <c r="D4" s="14"/>
      <c r="E4" s="15" t="s">
        <v>49</v>
      </c>
      <c r="F4" s="15" t="s">
        <v>3</v>
      </c>
      <c r="G4" s="15" t="s">
        <v>51</v>
      </c>
      <c r="H4" s="14" t="str">
        <f>G3</f>
        <v>T2</v>
      </c>
      <c r="I4" s="14" t="str">
        <f>G4</f>
        <v>T3</v>
      </c>
    </row>
    <row r="5" spans="1:9" ht="15" customHeight="1" x14ac:dyDescent="0.3">
      <c r="A5" s="95" t="s">
        <v>171</v>
      </c>
      <c r="B5" s="14" t="s">
        <v>15</v>
      </c>
      <c r="C5" s="14" t="s">
        <v>1</v>
      </c>
      <c r="D5" s="14" t="str">
        <f>E5</f>
        <v>G5</v>
      </c>
      <c r="E5" s="23" t="s">
        <v>83</v>
      </c>
      <c r="F5" s="23" t="s">
        <v>3</v>
      </c>
      <c r="G5" s="23" t="s">
        <v>82</v>
      </c>
      <c r="H5" s="14" t="str">
        <f>E6</f>
        <v>T5</v>
      </c>
      <c r="I5" s="14"/>
    </row>
    <row r="6" spans="1:9" ht="15" customHeight="1" x14ac:dyDescent="0.3">
      <c r="A6" s="95" t="s">
        <v>172</v>
      </c>
      <c r="B6" s="14" t="s">
        <v>16</v>
      </c>
      <c r="C6" s="14" t="s">
        <v>1</v>
      </c>
      <c r="D6" s="14"/>
      <c r="E6" s="15" t="s">
        <v>56</v>
      </c>
      <c r="F6" s="15" t="s">
        <v>3</v>
      </c>
      <c r="G6" s="15" t="s">
        <v>52</v>
      </c>
      <c r="H6" s="14" t="str">
        <f>E4</f>
        <v>T1</v>
      </c>
      <c r="I6" s="14"/>
    </row>
    <row r="7" spans="1:9" ht="15" customHeight="1" x14ac:dyDescent="0.3">
      <c r="A7" s="95"/>
      <c r="B7" s="14" t="s">
        <v>17</v>
      </c>
      <c r="C7" s="14" t="s">
        <v>1</v>
      </c>
      <c r="D7" s="14"/>
      <c r="E7" s="23" t="s">
        <v>85</v>
      </c>
      <c r="F7" s="23" t="s">
        <v>3</v>
      </c>
      <c r="G7" s="23" t="s">
        <v>80</v>
      </c>
      <c r="H7" s="14" t="str">
        <f>G6</f>
        <v>T4</v>
      </c>
      <c r="I7" s="14" t="str">
        <f>G7</f>
        <v>G2</v>
      </c>
    </row>
    <row r="8" spans="1:9" ht="15" customHeight="1" x14ac:dyDescent="0.3">
      <c r="A8" s="95"/>
      <c r="B8" s="14" t="s">
        <v>15</v>
      </c>
      <c r="C8" s="14" t="s">
        <v>2</v>
      </c>
      <c r="D8" s="14" t="str">
        <f>E8</f>
        <v>G9</v>
      </c>
      <c r="E8" s="23" t="s">
        <v>87</v>
      </c>
      <c r="F8" s="23" t="s">
        <v>3</v>
      </c>
      <c r="G8" s="23" t="s">
        <v>86</v>
      </c>
      <c r="H8" s="14" t="str">
        <f>E9</f>
        <v>G1</v>
      </c>
      <c r="I8" s="14"/>
    </row>
    <row r="9" spans="1:9" ht="15" customHeight="1" x14ac:dyDescent="0.3">
      <c r="A9" s="95"/>
      <c r="B9" s="14" t="s">
        <v>16</v>
      </c>
      <c r="C9" s="14" t="s">
        <v>2</v>
      </c>
      <c r="D9" s="14"/>
      <c r="E9" s="23" t="s">
        <v>79</v>
      </c>
      <c r="F9" s="23" t="s">
        <v>3</v>
      </c>
      <c r="G9" s="23" t="s">
        <v>84</v>
      </c>
      <c r="H9" s="14" t="str">
        <f>G8</f>
        <v>G8</v>
      </c>
      <c r="I9" s="14"/>
    </row>
    <row r="10" spans="1:9" ht="15" customHeight="1" x14ac:dyDescent="0.3">
      <c r="A10" s="95"/>
      <c r="B10" s="14" t="s">
        <v>17</v>
      </c>
      <c r="C10" s="14" t="s">
        <v>2</v>
      </c>
      <c r="D10" s="14"/>
      <c r="E10" s="23" t="s">
        <v>88</v>
      </c>
      <c r="F10" s="23" t="s">
        <v>3</v>
      </c>
      <c r="G10" s="23" t="s">
        <v>81</v>
      </c>
      <c r="H10" s="14" t="str">
        <f>G9</f>
        <v>G6</v>
      </c>
      <c r="I10" s="14" t="str">
        <f>G10</f>
        <v>G3</v>
      </c>
    </row>
    <row r="11" spans="1:9" s="19" customFormat="1" ht="15" customHeight="1" x14ac:dyDescent="0.3">
      <c r="A11" s="17"/>
      <c r="B11" s="18"/>
      <c r="C11" s="18"/>
      <c r="D11" s="18"/>
      <c r="H11" s="18"/>
      <c r="I11" s="18"/>
    </row>
    <row r="12" spans="1:9" ht="15" customHeight="1" x14ac:dyDescent="0.3">
      <c r="A12" s="13" t="s">
        <v>18</v>
      </c>
      <c r="B12" s="14" t="s">
        <v>15</v>
      </c>
      <c r="C12" s="14" t="s">
        <v>0</v>
      </c>
      <c r="D12" s="14" t="str">
        <f>E12</f>
        <v>T9</v>
      </c>
      <c r="E12" s="15" t="s">
        <v>172</v>
      </c>
      <c r="F12" s="15" t="s">
        <v>3</v>
      </c>
      <c r="G12" s="15" t="s">
        <v>57</v>
      </c>
      <c r="H12" s="14" t="str">
        <f>E13</f>
        <v>T3</v>
      </c>
      <c r="I12" s="14"/>
    </row>
    <row r="13" spans="1:9" ht="15" customHeight="1" x14ac:dyDescent="0.3">
      <c r="A13" s="95">
        <f>A3+7</f>
        <v>45875</v>
      </c>
      <c r="B13" s="14" t="s">
        <v>16</v>
      </c>
      <c r="C13" s="14" t="s">
        <v>0</v>
      </c>
      <c r="D13" s="14"/>
      <c r="E13" s="15" t="s">
        <v>51</v>
      </c>
      <c r="F13" s="15" t="s">
        <v>3</v>
      </c>
      <c r="G13" s="15" t="s">
        <v>67</v>
      </c>
      <c r="H13" s="14" t="str">
        <f>G12</f>
        <v>T6</v>
      </c>
      <c r="I13" s="14"/>
    </row>
    <row r="14" spans="1:9" ht="15" customHeight="1" x14ac:dyDescent="0.3">
      <c r="A14" s="13"/>
      <c r="B14" s="14" t="s">
        <v>17</v>
      </c>
      <c r="C14" s="14" t="s">
        <v>0</v>
      </c>
      <c r="D14" s="14"/>
      <c r="E14" s="15" t="s">
        <v>52</v>
      </c>
      <c r="F14" s="15" t="s">
        <v>3</v>
      </c>
      <c r="G14" s="15" t="s">
        <v>49</v>
      </c>
      <c r="H14" s="14" t="str">
        <f>G13</f>
        <v>T8</v>
      </c>
      <c r="I14" s="14" t="str">
        <f>G14</f>
        <v>T1</v>
      </c>
    </row>
    <row r="15" spans="1:9" ht="15" customHeight="1" x14ac:dyDescent="0.3">
      <c r="A15" s="13" t="s">
        <v>171</v>
      </c>
      <c r="B15" s="14" t="s">
        <v>15</v>
      </c>
      <c r="C15" s="14" t="s">
        <v>1</v>
      </c>
      <c r="D15" s="14" t="str">
        <f>E15</f>
        <v>G9</v>
      </c>
      <c r="E15" s="23" t="s">
        <v>87</v>
      </c>
      <c r="F15" s="23" t="s">
        <v>3</v>
      </c>
      <c r="G15" s="23" t="s">
        <v>80</v>
      </c>
      <c r="H15" s="14" t="str">
        <f>E16</f>
        <v>T2</v>
      </c>
      <c r="I15" s="14"/>
    </row>
    <row r="16" spans="1:9" ht="15" customHeight="1" x14ac:dyDescent="0.3">
      <c r="A16" s="16" t="s">
        <v>68</v>
      </c>
      <c r="B16" s="14" t="s">
        <v>16</v>
      </c>
      <c r="C16" s="14" t="s">
        <v>1</v>
      </c>
      <c r="D16" s="14"/>
      <c r="E16" s="15" t="s">
        <v>50</v>
      </c>
      <c r="F16" s="15" t="s">
        <v>3</v>
      </c>
      <c r="G16" s="15" t="s">
        <v>56</v>
      </c>
      <c r="H16" s="14" t="str">
        <f>E14</f>
        <v>T4</v>
      </c>
      <c r="I16" s="14"/>
    </row>
    <row r="17" spans="1:9" ht="15" customHeight="1" x14ac:dyDescent="0.3">
      <c r="A17" s="16"/>
      <c r="B17" s="14" t="s">
        <v>17</v>
      </c>
      <c r="C17" s="14" t="s">
        <v>1</v>
      </c>
      <c r="D17" s="14"/>
      <c r="E17" s="23" t="s">
        <v>81</v>
      </c>
      <c r="F17" s="23" t="s">
        <v>3</v>
      </c>
      <c r="G17" s="23" t="s">
        <v>86</v>
      </c>
      <c r="H17" s="14" t="str">
        <f>G16</f>
        <v>T5</v>
      </c>
      <c r="I17" s="14" t="str">
        <f>G17</f>
        <v>G8</v>
      </c>
    </row>
    <row r="18" spans="1:9" ht="15" customHeight="1" x14ac:dyDescent="0.3">
      <c r="A18" s="13"/>
      <c r="B18" s="14" t="s">
        <v>15</v>
      </c>
      <c r="C18" s="14" t="s">
        <v>2</v>
      </c>
      <c r="D18" s="14" t="str">
        <f>E18</f>
        <v>G6</v>
      </c>
      <c r="E18" s="23" t="s">
        <v>84</v>
      </c>
      <c r="F18" s="23" t="s">
        <v>3</v>
      </c>
      <c r="G18" s="23" t="s">
        <v>85</v>
      </c>
      <c r="H18" s="14" t="str">
        <f>E19</f>
        <v>G5</v>
      </c>
      <c r="I18" s="14"/>
    </row>
    <row r="19" spans="1:9" ht="15" customHeight="1" x14ac:dyDescent="0.3">
      <c r="A19" s="13"/>
      <c r="B19" s="14" t="s">
        <v>16</v>
      </c>
      <c r="C19" s="14" t="s">
        <v>2</v>
      </c>
      <c r="D19" s="14"/>
      <c r="E19" s="23" t="s">
        <v>83</v>
      </c>
      <c r="F19" s="23" t="s">
        <v>3</v>
      </c>
      <c r="G19" s="23" t="s">
        <v>79</v>
      </c>
      <c r="H19" s="14" t="str">
        <f>G18</f>
        <v>G7</v>
      </c>
      <c r="I19" s="14"/>
    </row>
    <row r="20" spans="1:9" ht="15" customHeight="1" x14ac:dyDescent="0.3">
      <c r="A20" s="13"/>
      <c r="B20" s="14" t="s">
        <v>17</v>
      </c>
      <c r="C20" s="14" t="s">
        <v>2</v>
      </c>
      <c r="D20" s="14"/>
      <c r="E20" s="23" t="s">
        <v>82</v>
      </c>
      <c r="F20" s="23" t="s">
        <v>3</v>
      </c>
      <c r="G20" s="23" t="s">
        <v>88</v>
      </c>
      <c r="H20" s="14" t="str">
        <f>G19</f>
        <v>G1</v>
      </c>
      <c r="I20" s="14" t="str">
        <f>G20</f>
        <v>G10</v>
      </c>
    </row>
    <row r="21" spans="1:9" s="19" customFormat="1" ht="15" customHeight="1" x14ac:dyDescent="0.3">
      <c r="A21" s="17"/>
      <c r="B21" s="18"/>
      <c r="C21" s="18"/>
      <c r="D21" s="18"/>
      <c r="E21" s="18"/>
      <c r="F21" s="18"/>
      <c r="G21" s="18"/>
      <c r="H21" s="18"/>
      <c r="I21" s="18"/>
    </row>
    <row r="22" spans="1:9" ht="15" customHeight="1" x14ac:dyDescent="0.3">
      <c r="A22" s="13" t="s">
        <v>19</v>
      </c>
      <c r="B22" s="14" t="s">
        <v>15</v>
      </c>
      <c r="C22" s="14" t="s">
        <v>0</v>
      </c>
      <c r="D22" s="14" t="str">
        <f>E22</f>
        <v>T7</v>
      </c>
      <c r="E22" s="15" t="s">
        <v>68</v>
      </c>
      <c r="F22" s="15" t="s">
        <v>3</v>
      </c>
      <c r="G22" s="15" t="s">
        <v>51</v>
      </c>
      <c r="H22" s="14" t="str">
        <f>E23</f>
        <v>T5</v>
      </c>
      <c r="I22" s="14"/>
    </row>
    <row r="23" spans="1:9" ht="15" customHeight="1" x14ac:dyDescent="0.3">
      <c r="A23" s="95">
        <f>A13+7</f>
        <v>45882</v>
      </c>
      <c r="B23" s="14" t="s">
        <v>16</v>
      </c>
      <c r="C23" s="14" t="s">
        <v>0</v>
      </c>
      <c r="D23" s="14"/>
      <c r="E23" s="15" t="s">
        <v>56</v>
      </c>
      <c r="F23" s="15" t="s">
        <v>3</v>
      </c>
      <c r="G23" s="15" t="s">
        <v>172</v>
      </c>
      <c r="H23" s="14" t="str">
        <f>G22</f>
        <v>T3</v>
      </c>
      <c r="I23" s="14"/>
    </row>
    <row r="24" spans="1:9" ht="15" customHeight="1" x14ac:dyDescent="0.3">
      <c r="A24" s="13"/>
      <c r="B24" s="14" t="s">
        <v>17</v>
      </c>
      <c r="C24" s="14" t="s">
        <v>0</v>
      </c>
      <c r="D24" s="14"/>
      <c r="E24" s="15" t="s">
        <v>67</v>
      </c>
      <c r="F24" s="15" t="s">
        <v>3</v>
      </c>
      <c r="G24" s="15" t="s">
        <v>52</v>
      </c>
      <c r="H24" s="14" t="str">
        <f>G23</f>
        <v>T9</v>
      </c>
      <c r="I24" s="14" t="str">
        <f>G24</f>
        <v>T4</v>
      </c>
    </row>
    <row r="25" spans="1:9" ht="15" customHeight="1" x14ac:dyDescent="0.3">
      <c r="A25" s="13" t="s">
        <v>171</v>
      </c>
      <c r="B25" s="14" t="s">
        <v>15</v>
      </c>
      <c r="C25" s="14" t="s">
        <v>1</v>
      </c>
      <c r="D25" s="14" t="str">
        <f>E25</f>
        <v>G8</v>
      </c>
      <c r="E25" s="23" t="s">
        <v>86</v>
      </c>
      <c r="F25" s="23" t="s">
        <v>3</v>
      </c>
      <c r="G25" s="23" t="s">
        <v>82</v>
      </c>
      <c r="H25" s="14" t="str">
        <f>E26</f>
        <v>T1</v>
      </c>
      <c r="I25" s="14"/>
    </row>
    <row r="26" spans="1:9" ht="15" customHeight="1" x14ac:dyDescent="0.3">
      <c r="A26" s="16" t="s">
        <v>57</v>
      </c>
      <c r="B26" s="14" t="s">
        <v>16</v>
      </c>
      <c r="C26" s="14" t="s">
        <v>1</v>
      </c>
      <c r="D26" s="14"/>
      <c r="E26" s="15" t="s">
        <v>49</v>
      </c>
      <c r="F26" s="15" t="s">
        <v>3</v>
      </c>
      <c r="G26" s="15" t="s">
        <v>50</v>
      </c>
      <c r="H26" s="14" t="str">
        <f>E24</f>
        <v>T8</v>
      </c>
      <c r="I26" s="14"/>
    </row>
    <row r="27" spans="1:9" ht="15" customHeight="1" x14ac:dyDescent="0.3">
      <c r="A27" s="16"/>
      <c r="B27" s="14" t="s">
        <v>17</v>
      </c>
      <c r="C27" s="14" t="s">
        <v>1</v>
      </c>
      <c r="D27" s="14"/>
      <c r="E27" s="23" t="s">
        <v>80</v>
      </c>
      <c r="F27" s="23" t="s">
        <v>3</v>
      </c>
      <c r="G27" s="23" t="s">
        <v>84</v>
      </c>
      <c r="H27" s="14" t="str">
        <f>G26</f>
        <v>T2</v>
      </c>
      <c r="I27" s="14" t="str">
        <f>G27</f>
        <v>G6</v>
      </c>
    </row>
    <row r="28" spans="1:9" ht="15" customHeight="1" x14ac:dyDescent="0.3">
      <c r="A28" s="13"/>
      <c r="B28" s="14" t="s">
        <v>15</v>
      </c>
      <c r="C28" s="14" t="s">
        <v>2</v>
      </c>
      <c r="D28" s="14" t="str">
        <f>E28</f>
        <v>G9</v>
      </c>
      <c r="E28" s="23" t="s">
        <v>87</v>
      </c>
      <c r="F28" s="23" t="s">
        <v>3</v>
      </c>
      <c r="G28" s="23" t="s">
        <v>81</v>
      </c>
      <c r="H28" s="14" t="str">
        <f>E29</f>
        <v>G7</v>
      </c>
      <c r="I28" s="14"/>
    </row>
    <row r="29" spans="1:9" ht="15" customHeight="1" x14ac:dyDescent="0.3">
      <c r="A29" s="13"/>
      <c r="B29" s="14" t="s">
        <v>16</v>
      </c>
      <c r="C29" s="14" t="s">
        <v>2</v>
      </c>
      <c r="D29" s="14"/>
      <c r="E29" s="23" t="s">
        <v>85</v>
      </c>
      <c r="F29" s="23" t="s">
        <v>3</v>
      </c>
      <c r="G29" s="23" t="s">
        <v>83</v>
      </c>
      <c r="H29" s="14" t="str">
        <f>G28</f>
        <v>G3</v>
      </c>
      <c r="I29" s="14"/>
    </row>
    <row r="30" spans="1:9" ht="15" customHeight="1" x14ac:dyDescent="0.3">
      <c r="A30" s="13"/>
      <c r="B30" s="14" t="s">
        <v>17</v>
      </c>
      <c r="C30" s="14" t="s">
        <v>2</v>
      </c>
      <c r="D30" s="14"/>
      <c r="E30" s="23" t="s">
        <v>88</v>
      </c>
      <c r="F30" s="23" t="s">
        <v>3</v>
      </c>
      <c r="G30" s="23" t="s">
        <v>79</v>
      </c>
      <c r="H30" s="14" t="str">
        <f>G29</f>
        <v>G5</v>
      </c>
      <c r="I30" s="14" t="str">
        <f>G30</f>
        <v>G1</v>
      </c>
    </row>
    <row r="31" spans="1:9" ht="15" customHeight="1" x14ac:dyDescent="0.3">
      <c r="A31" s="17"/>
      <c r="B31" s="18"/>
      <c r="C31" s="18"/>
      <c r="D31" s="18"/>
      <c r="E31" s="18"/>
      <c r="F31" s="18"/>
      <c r="G31" s="18"/>
      <c r="H31" s="18"/>
      <c r="I31" s="18"/>
    </row>
    <row r="32" spans="1:9" ht="15" customHeight="1" x14ac:dyDescent="0.3">
      <c r="A32" s="17"/>
      <c r="B32" s="18"/>
      <c r="C32" s="18"/>
      <c r="D32" s="18"/>
      <c r="E32" s="18"/>
      <c r="F32" s="18"/>
      <c r="G32" s="18"/>
      <c r="H32" s="18"/>
      <c r="I32" s="18"/>
    </row>
    <row r="33" spans="1:9" ht="15" customHeight="1" x14ac:dyDescent="0.3">
      <c r="A33" s="9" t="s">
        <v>6</v>
      </c>
      <c r="B33" s="9" t="s">
        <v>7</v>
      </c>
      <c r="C33" s="9" t="s">
        <v>8</v>
      </c>
      <c r="D33" s="9" t="s">
        <v>9</v>
      </c>
      <c r="E33" s="9" t="s">
        <v>10</v>
      </c>
      <c r="F33" s="9"/>
      <c r="G33" s="9" t="s">
        <v>11</v>
      </c>
      <c r="H33" s="9" t="s">
        <v>12</v>
      </c>
      <c r="I33" s="9" t="s">
        <v>13</v>
      </c>
    </row>
    <row r="34" spans="1:9" ht="15" customHeight="1" x14ac:dyDescent="0.3">
      <c r="A34" s="13" t="s">
        <v>20</v>
      </c>
      <c r="B34" s="14" t="s">
        <v>15</v>
      </c>
      <c r="C34" s="14" t="s">
        <v>0</v>
      </c>
      <c r="D34" s="14" t="str">
        <f>E34</f>
        <v>T6</v>
      </c>
      <c r="E34" s="15" t="s">
        <v>57</v>
      </c>
      <c r="F34" s="15" t="s">
        <v>3</v>
      </c>
      <c r="G34" s="15" t="s">
        <v>56</v>
      </c>
      <c r="H34" s="14" t="str">
        <f>E35</f>
        <v>T4</v>
      </c>
      <c r="I34" s="14"/>
    </row>
    <row r="35" spans="1:9" ht="15" customHeight="1" x14ac:dyDescent="0.3">
      <c r="A35" s="95">
        <f>A23+7</f>
        <v>45889</v>
      </c>
      <c r="B35" s="14" t="s">
        <v>16</v>
      </c>
      <c r="C35" s="14" t="s">
        <v>0</v>
      </c>
      <c r="D35" s="14"/>
      <c r="E35" s="15" t="s">
        <v>52</v>
      </c>
      <c r="F35" s="15" t="s">
        <v>3</v>
      </c>
      <c r="G35" s="15" t="s">
        <v>68</v>
      </c>
      <c r="H35" s="14" t="str">
        <f>G34</f>
        <v>T5</v>
      </c>
      <c r="I35" s="14"/>
    </row>
    <row r="36" spans="1:9" ht="15" customHeight="1" x14ac:dyDescent="0.3">
      <c r="A36" s="13"/>
      <c r="B36" s="14" t="s">
        <v>17</v>
      </c>
      <c r="C36" s="14" t="s">
        <v>0</v>
      </c>
      <c r="D36" s="14"/>
      <c r="E36" s="15" t="s">
        <v>172</v>
      </c>
      <c r="F36" s="15" t="s">
        <v>3</v>
      </c>
      <c r="G36" s="15" t="s">
        <v>49</v>
      </c>
      <c r="H36" s="14" t="str">
        <f>G35</f>
        <v>T7</v>
      </c>
      <c r="I36" s="14" t="str">
        <f>G36</f>
        <v>T1</v>
      </c>
    </row>
    <row r="37" spans="1:9" ht="15" customHeight="1" x14ac:dyDescent="0.3">
      <c r="A37" s="13" t="s">
        <v>171</v>
      </c>
      <c r="B37" s="14" t="s">
        <v>15</v>
      </c>
      <c r="C37" s="14" t="s">
        <v>1</v>
      </c>
      <c r="D37" s="14" t="str">
        <f>E37</f>
        <v>G6</v>
      </c>
      <c r="E37" s="23" t="s">
        <v>84</v>
      </c>
      <c r="F37" s="23" t="s">
        <v>3</v>
      </c>
      <c r="G37" s="23" t="s">
        <v>87</v>
      </c>
      <c r="H37" s="14" t="str">
        <f>E38</f>
        <v>T2</v>
      </c>
      <c r="I37" s="14"/>
    </row>
    <row r="38" spans="1:9" ht="15" customHeight="1" x14ac:dyDescent="0.3">
      <c r="A38" s="16" t="s">
        <v>51</v>
      </c>
      <c r="B38" s="14" t="s">
        <v>16</v>
      </c>
      <c r="C38" s="14" t="s">
        <v>1</v>
      </c>
      <c r="D38" s="14"/>
      <c r="E38" s="15" t="s">
        <v>50</v>
      </c>
      <c r="F38" s="15" t="s">
        <v>3</v>
      </c>
      <c r="G38" s="15" t="s">
        <v>67</v>
      </c>
      <c r="H38" s="14" t="str">
        <f>E36</f>
        <v>T9</v>
      </c>
      <c r="I38" s="14"/>
    </row>
    <row r="39" spans="1:9" ht="15" customHeight="1" x14ac:dyDescent="0.3">
      <c r="A39" s="16"/>
      <c r="B39" s="14" t="s">
        <v>17</v>
      </c>
      <c r="C39" s="14" t="s">
        <v>1</v>
      </c>
      <c r="D39" s="14"/>
      <c r="E39" s="23" t="s">
        <v>79</v>
      </c>
      <c r="F39" s="23" t="s">
        <v>3</v>
      </c>
      <c r="G39" s="23" t="s">
        <v>86</v>
      </c>
      <c r="H39" s="14" t="str">
        <f>G38</f>
        <v>T8</v>
      </c>
      <c r="I39" s="14" t="str">
        <f>G39</f>
        <v>G8</v>
      </c>
    </row>
    <row r="40" spans="1:9" ht="15" customHeight="1" x14ac:dyDescent="0.3">
      <c r="A40" s="13"/>
      <c r="B40" s="14" t="s">
        <v>15</v>
      </c>
      <c r="C40" s="14" t="s">
        <v>2</v>
      </c>
      <c r="D40" s="14" t="str">
        <f>E40</f>
        <v>G5</v>
      </c>
      <c r="E40" s="23" t="s">
        <v>83</v>
      </c>
      <c r="F40" s="23" t="s">
        <v>3</v>
      </c>
      <c r="G40" s="23" t="s">
        <v>80</v>
      </c>
      <c r="H40" s="14" t="str">
        <f>E41</f>
        <v>G4</v>
      </c>
      <c r="I40" s="14"/>
    </row>
    <row r="41" spans="1:9" ht="15" customHeight="1" x14ac:dyDescent="0.3">
      <c r="A41" s="13"/>
      <c r="B41" s="14" t="s">
        <v>16</v>
      </c>
      <c r="C41" s="14" t="s">
        <v>2</v>
      </c>
      <c r="D41" s="14"/>
      <c r="E41" s="23" t="s">
        <v>82</v>
      </c>
      <c r="F41" s="23" t="s">
        <v>3</v>
      </c>
      <c r="G41" s="23" t="s">
        <v>81</v>
      </c>
      <c r="H41" s="14" t="str">
        <f>G40</f>
        <v>G2</v>
      </c>
      <c r="I41" s="14"/>
    </row>
    <row r="42" spans="1:9" ht="15" customHeight="1" x14ac:dyDescent="0.3">
      <c r="A42" s="13"/>
      <c r="B42" s="14" t="s">
        <v>17</v>
      </c>
      <c r="C42" s="14" t="s">
        <v>2</v>
      </c>
      <c r="D42" s="14"/>
      <c r="E42" s="23" t="s">
        <v>85</v>
      </c>
      <c r="F42" s="23" t="s">
        <v>3</v>
      </c>
      <c r="G42" s="23" t="s">
        <v>88</v>
      </c>
      <c r="H42" s="14" t="str">
        <f>G41</f>
        <v>G3</v>
      </c>
      <c r="I42" s="14" t="str">
        <f>G42</f>
        <v>G10</v>
      </c>
    </row>
    <row r="43" spans="1:9" ht="15" customHeight="1" x14ac:dyDescent="0.3">
      <c r="A43" s="17"/>
      <c r="B43" s="18"/>
      <c r="C43" s="18"/>
      <c r="D43" s="18"/>
      <c r="E43" s="18"/>
      <c r="F43" s="18"/>
      <c r="G43" s="18"/>
      <c r="H43" s="18"/>
      <c r="I43" s="18"/>
    </row>
    <row r="44" spans="1:9" ht="15" customHeight="1" x14ac:dyDescent="0.3">
      <c r="A44" s="13" t="s">
        <v>21</v>
      </c>
      <c r="B44" s="14" t="s">
        <v>15</v>
      </c>
      <c r="C44" s="14" t="s">
        <v>0</v>
      </c>
      <c r="D44" s="14" t="str">
        <f>E44</f>
        <v>T4</v>
      </c>
      <c r="E44" s="15" t="s">
        <v>52</v>
      </c>
      <c r="F44" s="15" t="s">
        <v>3</v>
      </c>
      <c r="G44" s="15" t="s">
        <v>51</v>
      </c>
      <c r="H44" s="14" t="str">
        <f>E45</f>
        <v>T6</v>
      </c>
      <c r="I44" s="14"/>
    </row>
    <row r="45" spans="1:9" ht="15" customHeight="1" x14ac:dyDescent="0.3">
      <c r="A45" s="95">
        <f>A35+7</f>
        <v>45896</v>
      </c>
      <c r="B45" s="14" t="s">
        <v>16</v>
      </c>
      <c r="C45" s="14" t="s">
        <v>0</v>
      </c>
      <c r="D45" s="14"/>
      <c r="E45" s="15" t="s">
        <v>57</v>
      </c>
      <c r="F45" s="15" t="s">
        <v>3</v>
      </c>
      <c r="G45" s="15" t="s">
        <v>49</v>
      </c>
      <c r="H45" s="14" t="str">
        <f>G44</f>
        <v>T3</v>
      </c>
      <c r="I45" s="14"/>
    </row>
    <row r="46" spans="1:9" ht="15" customHeight="1" x14ac:dyDescent="0.3">
      <c r="A46" s="13"/>
      <c r="B46" s="14" t="s">
        <v>17</v>
      </c>
      <c r="C46" s="14" t="s">
        <v>0</v>
      </c>
      <c r="D46" s="14"/>
      <c r="E46" s="15" t="s">
        <v>50</v>
      </c>
      <c r="F46" s="15" t="s">
        <v>3</v>
      </c>
      <c r="G46" s="15" t="s">
        <v>68</v>
      </c>
      <c r="H46" s="14" t="str">
        <f>G45</f>
        <v>T1</v>
      </c>
      <c r="I46" s="14" t="str">
        <f>G46</f>
        <v>T7</v>
      </c>
    </row>
    <row r="47" spans="1:9" ht="15" customHeight="1" x14ac:dyDescent="0.3">
      <c r="A47" s="13" t="s">
        <v>171</v>
      </c>
      <c r="B47" s="14" t="s">
        <v>15</v>
      </c>
      <c r="C47" s="14" t="s">
        <v>1</v>
      </c>
      <c r="D47" s="14" t="str">
        <f>E47</f>
        <v>G7</v>
      </c>
      <c r="E47" s="23" t="s">
        <v>85</v>
      </c>
      <c r="F47" s="23" t="s">
        <v>3</v>
      </c>
      <c r="G47" s="23" t="s">
        <v>86</v>
      </c>
      <c r="H47" s="14" t="str">
        <f>E48</f>
        <v>T9</v>
      </c>
      <c r="I47" s="14"/>
    </row>
    <row r="48" spans="1:9" ht="15" customHeight="1" x14ac:dyDescent="0.3">
      <c r="A48" s="16" t="s">
        <v>56</v>
      </c>
      <c r="B48" s="14" t="s">
        <v>16</v>
      </c>
      <c r="C48" s="14" t="s">
        <v>1</v>
      </c>
      <c r="D48" s="14"/>
      <c r="E48" s="15" t="s">
        <v>172</v>
      </c>
      <c r="F48" s="15" t="s">
        <v>3</v>
      </c>
      <c r="G48" s="15" t="s">
        <v>67</v>
      </c>
      <c r="H48" s="14" t="str">
        <f>E46</f>
        <v>T2</v>
      </c>
      <c r="I48" s="14"/>
    </row>
    <row r="49" spans="1:9" ht="15" customHeight="1" x14ac:dyDescent="0.3">
      <c r="A49" s="16"/>
      <c r="B49" s="14" t="s">
        <v>17</v>
      </c>
      <c r="C49" s="14" t="s">
        <v>1</v>
      </c>
      <c r="D49" s="14"/>
      <c r="E49" s="23" t="s">
        <v>80</v>
      </c>
      <c r="F49" s="23" t="s">
        <v>3</v>
      </c>
      <c r="G49" s="23" t="s">
        <v>88</v>
      </c>
      <c r="H49" s="14" t="str">
        <f>G48</f>
        <v>T8</v>
      </c>
      <c r="I49" s="14" t="str">
        <f>G49</f>
        <v>G10</v>
      </c>
    </row>
    <row r="50" spans="1:9" ht="15" customHeight="1" x14ac:dyDescent="0.3">
      <c r="A50" s="13"/>
      <c r="B50" s="14" t="s">
        <v>15</v>
      </c>
      <c r="C50" s="14" t="s">
        <v>2</v>
      </c>
      <c r="D50" s="14" t="str">
        <f>E50</f>
        <v>G3</v>
      </c>
      <c r="E50" s="23" t="s">
        <v>81</v>
      </c>
      <c r="F50" s="23" t="s">
        <v>3</v>
      </c>
      <c r="G50" s="23" t="s">
        <v>79</v>
      </c>
      <c r="H50" s="14" t="str">
        <f>E51</f>
        <v>G9</v>
      </c>
      <c r="I50" s="14"/>
    </row>
    <row r="51" spans="1:9" ht="15" customHeight="1" x14ac:dyDescent="0.3">
      <c r="A51" s="13"/>
      <c r="B51" s="14" t="s">
        <v>16</v>
      </c>
      <c r="C51" s="14" t="s">
        <v>2</v>
      </c>
      <c r="D51" s="14"/>
      <c r="E51" s="23" t="s">
        <v>87</v>
      </c>
      <c r="F51" s="23" t="s">
        <v>3</v>
      </c>
      <c r="G51" s="23" t="s">
        <v>82</v>
      </c>
      <c r="H51" s="14" t="str">
        <f>G50</f>
        <v>G1</v>
      </c>
      <c r="I51" s="14"/>
    </row>
    <row r="52" spans="1:9" ht="15" customHeight="1" x14ac:dyDescent="0.3">
      <c r="A52" s="13"/>
      <c r="B52" s="14" t="s">
        <v>17</v>
      </c>
      <c r="C52" s="14" t="s">
        <v>2</v>
      </c>
      <c r="D52" s="14"/>
      <c r="E52" s="23" t="s">
        <v>84</v>
      </c>
      <c r="F52" s="23" t="s">
        <v>3</v>
      </c>
      <c r="G52" s="23" t="s">
        <v>83</v>
      </c>
      <c r="H52" s="14" t="str">
        <f>G51</f>
        <v>G4</v>
      </c>
      <c r="I52" s="14" t="str">
        <f>G52</f>
        <v>G5</v>
      </c>
    </row>
    <row r="53" spans="1:9" ht="15" customHeight="1" x14ac:dyDescent="0.3">
      <c r="A53" s="17"/>
      <c r="B53" s="18"/>
      <c r="C53" s="18"/>
      <c r="D53" s="18"/>
      <c r="E53" s="18"/>
      <c r="F53" s="18"/>
      <c r="G53" s="18"/>
      <c r="H53" s="18"/>
      <c r="I53" s="18"/>
    </row>
    <row r="54" spans="1:9" ht="15" customHeight="1" x14ac:dyDescent="0.3">
      <c r="A54" s="13" t="s">
        <v>22</v>
      </c>
      <c r="B54" s="14" t="s">
        <v>15</v>
      </c>
      <c r="C54" s="14" t="s">
        <v>0</v>
      </c>
      <c r="D54" s="14" t="str">
        <f>E54</f>
        <v>T1</v>
      </c>
      <c r="E54" s="15" t="s">
        <v>49</v>
      </c>
      <c r="F54" s="15" t="s">
        <v>3</v>
      </c>
      <c r="G54" s="15" t="s">
        <v>56</v>
      </c>
      <c r="H54" s="14" t="str">
        <f>E55</f>
        <v>T3</v>
      </c>
      <c r="I54" s="14"/>
    </row>
    <row r="55" spans="1:9" ht="15" customHeight="1" x14ac:dyDescent="0.3">
      <c r="A55" s="95">
        <f>A45+7</f>
        <v>45903</v>
      </c>
      <c r="B55" s="14" t="s">
        <v>16</v>
      </c>
      <c r="C55" s="14" t="s">
        <v>0</v>
      </c>
      <c r="D55" s="14"/>
      <c r="E55" s="15" t="s">
        <v>51</v>
      </c>
      <c r="F55" s="15" t="s">
        <v>3</v>
      </c>
      <c r="G55" s="15" t="s">
        <v>50</v>
      </c>
      <c r="H55" s="14" t="str">
        <f>G54</f>
        <v>T5</v>
      </c>
      <c r="I55" s="14"/>
    </row>
    <row r="56" spans="1:9" ht="15" customHeight="1" x14ac:dyDescent="0.3">
      <c r="A56" s="13"/>
      <c r="B56" s="14" t="s">
        <v>17</v>
      </c>
      <c r="C56" s="14" t="s">
        <v>0</v>
      </c>
      <c r="D56" s="14"/>
      <c r="E56" s="15" t="s">
        <v>67</v>
      </c>
      <c r="F56" s="15" t="s">
        <v>3</v>
      </c>
      <c r="G56" s="15" t="s">
        <v>57</v>
      </c>
      <c r="H56" s="14" t="str">
        <f>G55</f>
        <v>T2</v>
      </c>
      <c r="I56" s="14" t="str">
        <f>G56</f>
        <v>T6</v>
      </c>
    </row>
    <row r="57" spans="1:9" ht="15" customHeight="1" x14ac:dyDescent="0.3">
      <c r="A57" s="13" t="s">
        <v>171</v>
      </c>
      <c r="B57" s="14" t="s">
        <v>15</v>
      </c>
      <c r="C57" s="14" t="s">
        <v>1</v>
      </c>
      <c r="D57" s="14" t="str">
        <f>E57</f>
        <v>G3</v>
      </c>
      <c r="E57" s="23" t="s">
        <v>81</v>
      </c>
      <c r="F57" s="23" t="s">
        <v>3</v>
      </c>
      <c r="G57" s="23" t="s">
        <v>80</v>
      </c>
      <c r="H57" s="14" t="str">
        <f>E58</f>
        <v>T7</v>
      </c>
      <c r="I57" s="14"/>
    </row>
    <row r="58" spans="1:9" ht="15" customHeight="1" x14ac:dyDescent="0.3">
      <c r="A58" s="16" t="s">
        <v>52</v>
      </c>
      <c r="B58" s="14" t="s">
        <v>16</v>
      </c>
      <c r="C58" s="14" t="s">
        <v>1</v>
      </c>
      <c r="D58" s="14"/>
      <c r="E58" s="15" t="s">
        <v>68</v>
      </c>
      <c r="F58" s="15" t="s">
        <v>3</v>
      </c>
      <c r="G58" s="15" t="s">
        <v>172</v>
      </c>
      <c r="H58" s="14" t="str">
        <f>E56</f>
        <v>T8</v>
      </c>
      <c r="I58" s="14"/>
    </row>
    <row r="59" spans="1:9" ht="15" customHeight="1" x14ac:dyDescent="0.3">
      <c r="A59" s="16"/>
      <c r="B59" s="14" t="s">
        <v>17</v>
      </c>
      <c r="C59" s="14" t="s">
        <v>1</v>
      </c>
      <c r="D59" s="14"/>
      <c r="E59" s="23" t="s">
        <v>83</v>
      </c>
      <c r="F59" s="23" t="s">
        <v>3</v>
      </c>
      <c r="G59" s="23" t="s">
        <v>88</v>
      </c>
      <c r="H59" s="14" t="str">
        <f>G58</f>
        <v>T9</v>
      </c>
      <c r="I59" s="14" t="str">
        <f>G59</f>
        <v>G10</v>
      </c>
    </row>
    <row r="60" spans="1:9" ht="15" customHeight="1" x14ac:dyDescent="0.3">
      <c r="A60" s="13"/>
      <c r="B60" s="14" t="s">
        <v>15</v>
      </c>
      <c r="C60" s="14" t="s">
        <v>2</v>
      </c>
      <c r="D60" s="14" t="str">
        <f>E60</f>
        <v>G9</v>
      </c>
      <c r="E60" s="23" t="s">
        <v>87</v>
      </c>
      <c r="F60" s="23" t="s">
        <v>3</v>
      </c>
      <c r="G60" s="23" t="s">
        <v>88</v>
      </c>
      <c r="H60" s="14" t="str">
        <f>E61</f>
        <v>G4</v>
      </c>
      <c r="I60" s="14"/>
    </row>
    <row r="61" spans="1:9" ht="15" customHeight="1" x14ac:dyDescent="0.3">
      <c r="A61" s="13"/>
      <c r="B61" s="14" t="s">
        <v>16</v>
      </c>
      <c r="C61" s="14" t="s">
        <v>2</v>
      </c>
      <c r="D61" s="14"/>
      <c r="E61" s="23" t="s">
        <v>82</v>
      </c>
      <c r="F61" s="23" t="s">
        <v>3</v>
      </c>
      <c r="G61" s="23" t="s">
        <v>85</v>
      </c>
      <c r="H61" s="14" t="str">
        <f>G60</f>
        <v>G10</v>
      </c>
      <c r="I61" s="14"/>
    </row>
    <row r="62" spans="1:9" ht="15" customHeight="1" x14ac:dyDescent="0.3">
      <c r="A62" s="13"/>
      <c r="B62" s="14" t="s">
        <v>17</v>
      </c>
      <c r="C62" s="14" t="s">
        <v>2</v>
      </c>
      <c r="D62" s="14"/>
      <c r="E62" s="23" t="s">
        <v>84</v>
      </c>
      <c r="F62" s="23" t="s">
        <v>3</v>
      </c>
      <c r="G62" s="23" t="s">
        <v>86</v>
      </c>
      <c r="H62" s="14" t="str">
        <f>G61</f>
        <v>G7</v>
      </c>
      <c r="I62" s="14" t="str">
        <f>G62</f>
        <v>G8</v>
      </c>
    </row>
    <row r="63" spans="1:9" ht="15" customHeight="1" x14ac:dyDescent="0.3">
      <c r="A63" s="17"/>
      <c r="B63" s="18"/>
      <c r="C63" s="18"/>
      <c r="D63" s="18"/>
      <c r="E63" s="18"/>
      <c r="F63" s="18"/>
      <c r="G63" s="18"/>
      <c r="H63" s="18"/>
      <c r="I63" s="18"/>
    </row>
    <row r="64" spans="1:9" ht="15" customHeight="1" x14ac:dyDescent="0.3">
      <c r="A64" s="17"/>
      <c r="B64" s="18"/>
      <c r="C64" s="18"/>
      <c r="D64" s="18"/>
      <c r="E64" s="18"/>
      <c r="F64" s="18"/>
      <c r="G64" s="18"/>
      <c r="H64" s="18"/>
      <c r="I64" s="18"/>
    </row>
    <row r="65" spans="1:9" ht="15" customHeight="1" x14ac:dyDescent="0.3">
      <c r="A65" s="9" t="s">
        <v>6</v>
      </c>
      <c r="B65" s="9" t="s">
        <v>7</v>
      </c>
      <c r="C65" s="9" t="s">
        <v>8</v>
      </c>
      <c r="D65" s="9" t="s">
        <v>9</v>
      </c>
      <c r="E65" s="9" t="s">
        <v>10</v>
      </c>
      <c r="F65" s="9"/>
      <c r="G65" s="9" t="s">
        <v>11</v>
      </c>
      <c r="H65" s="9" t="s">
        <v>12</v>
      </c>
      <c r="I65" s="9" t="s">
        <v>13</v>
      </c>
    </row>
    <row r="66" spans="1:9" ht="15" customHeight="1" x14ac:dyDescent="0.3">
      <c r="A66" s="13" t="s">
        <v>23</v>
      </c>
      <c r="B66" s="14" t="s">
        <v>15</v>
      </c>
      <c r="C66" s="14" t="s">
        <v>0</v>
      </c>
      <c r="D66" s="14" t="str">
        <f>E66</f>
        <v>T2</v>
      </c>
      <c r="E66" s="15" t="s">
        <v>50</v>
      </c>
      <c r="F66" s="15" t="s">
        <v>3</v>
      </c>
      <c r="G66" s="15" t="s">
        <v>52</v>
      </c>
      <c r="H66" s="14" t="str">
        <f>E67</f>
        <v>T5</v>
      </c>
      <c r="I66" s="14"/>
    </row>
    <row r="67" spans="1:9" ht="15" customHeight="1" x14ac:dyDescent="0.3">
      <c r="A67" s="95">
        <f>A55+7</f>
        <v>45910</v>
      </c>
      <c r="B67" s="14" t="s">
        <v>16</v>
      </c>
      <c r="C67" s="14" t="s">
        <v>0</v>
      </c>
      <c r="D67" s="14"/>
      <c r="E67" s="15" t="s">
        <v>56</v>
      </c>
      <c r="F67" s="15" t="s">
        <v>3</v>
      </c>
      <c r="G67" s="15" t="s">
        <v>67</v>
      </c>
      <c r="H67" s="14" t="str">
        <f>G66</f>
        <v>T4</v>
      </c>
      <c r="I67" s="14"/>
    </row>
    <row r="68" spans="1:9" ht="15" customHeight="1" x14ac:dyDescent="0.3">
      <c r="A68" s="13"/>
      <c r="B68" s="14" t="s">
        <v>17</v>
      </c>
      <c r="C68" s="14" t="s">
        <v>0</v>
      </c>
      <c r="D68" s="14"/>
      <c r="E68" s="15" t="s">
        <v>172</v>
      </c>
      <c r="F68" s="15" t="s">
        <v>3</v>
      </c>
      <c r="G68" s="15" t="s">
        <v>51</v>
      </c>
      <c r="H68" s="14" t="str">
        <f>G67</f>
        <v>T8</v>
      </c>
      <c r="I68" s="14" t="str">
        <f>G68</f>
        <v>T3</v>
      </c>
    </row>
    <row r="69" spans="1:9" ht="15" customHeight="1" x14ac:dyDescent="0.3">
      <c r="A69" s="13" t="s">
        <v>171</v>
      </c>
      <c r="B69" s="14" t="s">
        <v>15</v>
      </c>
      <c r="C69" s="14" t="s">
        <v>1</v>
      </c>
      <c r="D69" s="14" t="str">
        <f>E69</f>
        <v>G5</v>
      </c>
      <c r="E69" s="23" t="s">
        <v>83</v>
      </c>
      <c r="F69" s="23" t="s">
        <v>3</v>
      </c>
      <c r="G69" s="23" t="s">
        <v>87</v>
      </c>
      <c r="H69" s="14" t="str">
        <f>E70</f>
        <v>T6</v>
      </c>
      <c r="I69" s="14"/>
    </row>
    <row r="70" spans="1:9" ht="15" customHeight="1" x14ac:dyDescent="0.3">
      <c r="A70" s="16" t="s">
        <v>49</v>
      </c>
      <c r="B70" s="14" t="s">
        <v>16</v>
      </c>
      <c r="C70" s="14" t="s">
        <v>1</v>
      </c>
      <c r="D70" s="14"/>
      <c r="E70" s="15" t="s">
        <v>57</v>
      </c>
      <c r="F70" s="15" t="s">
        <v>3</v>
      </c>
      <c r="G70" s="15" t="s">
        <v>68</v>
      </c>
      <c r="H70" s="14" t="str">
        <f>E68</f>
        <v>T9</v>
      </c>
      <c r="I70" s="14"/>
    </row>
    <row r="71" spans="1:9" ht="15" customHeight="1" x14ac:dyDescent="0.3">
      <c r="A71" s="16"/>
      <c r="B71" s="14" t="s">
        <v>17</v>
      </c>
      <c r="C71" s="14" t="s">
        <v>1</v>
      </c>
      <c r="D71" s="14"/>
      <c r="E71" s="23" t="s">
        <v>79</v>
      </c>
      <c r="F71" s="23" t="s">
        <v>3</v>
      </c>
      <c r="G71" s="23" t="s">
        <v>82</v>
      </c>
      <c r="H71" s="14" t="str">
        <f>G70</f>
        <v>T7</v>
      </c>
      <c r="I71" s="14" t="str">
        <f>G71</f>
        <v>G4</v>
      </c>
    </row>
    <row r="72" spans="1:9" ht="15" customHeight="1" x14ac:dyDescent="0.3">
      <c r="A72" s="13"/>
      <c r="B72" s="14" t="s">
        <v>15</v>
      </c>
      <c r="C72" s="14" t="s">
        <v>2</v>
      </c>
      <c r="D72" s="14" t="str">
        <f>E72</f>
        <v>G7</v>
      </c>
      <c r="E72" s="23" t="s">
        <v>85</v>
      </c>
      <c r="F72" s="23" t="s">
        <v>3</v>
      </c>
      <c r="G72" s="23" t="s">
        <v>81</v>
      </c>
      <c r="H72" s="14" t="str">
        <f>E73</f>
        <v>G10</v>
      </c>
      <c r="I72" s="14"/>
    </row>
    <row r="73" spans="1:9" ht="15" customHeight="1" x14ac:dyDescent="0.3">
      <c r="A73" s="13"/>
      <c r="B73" s="14" t="s">
        <v>16</v>
      </c>
      <c r="C73" s="14" t="s">
        <v>2</v>
      </c>
      <c r="D73" s="14"/>
      <c r="E73" s="23" t="s">
        <v>88</v>
      </c>
      <c r="F73" s="23" t="s">
        <v>3</v>
      </c>
      <c r="G73" s="23" t="s">
        <v>84</v>
      </c>
      <c r="H73" s="14" t="str">
        <f>G72</f>
        <v>G3</v>
      </c>
      <c r="I73" s="14"/>
    </row>
    <row r="74" spans="1:9" ht="15" customHeight="1" x14ac:dyDescent="0.3">
      <c r="A74" s="13"/>
      <c r="B74" s="14" t="s">
        <v>17</v>
      </c>
      <c r="C74" s="14" t="s">
        <v>2</v>
      </c>
      <c r="D74" s="14"/>
      <c r="E74" s="23" t="s">
        <v>86</v>
      </c>
      <c r="F74" s="23" t="s">
        <v>3</v>
      </c>
      <c r="G74" s="23" t="s">
        <v>80</v>
      </c>
      <c r="H74" s="14" t="str">
        <f>G73</f>
        <v>G6</v>
      </c>
      <c r="I74" s="14" t="str">
        <f>G74</f>
        <v>G2</v>
      </c>
    </row>
    <row r="75" spans="1:9" ht="15" customHeight="1" x14ac:dyDescent="0.3">
      <c r="A75" s="17"/>
      <c r="B75" s="18"/>
      <c r="C75" s="18"/>
      <c r="D75" s="18"/>
      <c r="E75" s="18"/>
      <c r="F75" s="18"/>
      <c r="G75" s="18"/>
      <c r="H75" s="18"/>
      <c r="I75" s="18"/>
    </row>
    <row r="76" spans="1:9" ht="15" customHeight="1" x14ac:dyDescent="0.3">
      <c r="A76" s="13" t="s">
        <v>24</v>
      </c>
      <c r="B76" s="14" t="s">
        <v>15</v>
      </c>
      <c r="C76" s="14" t="s">
        <v>0</v>
      </c>
      <c r="D76" s="14" t="str">
        <f>E76</f>
        <v>T8</v>
      </c>
      <c r="E76" s="15" t="s">
        <v>67</v>
      </c>
      <c r="F76" s="15" t="s">
        <v>3</v>
      </c>
      <c r="G76" s="15" t="s">
        <v>49</v>
      </c>
      <c r="H76" s="14" t="str">
        <f>E77</f>
        <v>T4</v>
      </c>
      <c r="I76" s="14"/>
    </row>
    <row r="77" spans="1:9" ht="15" customHeight="1" x14ac:dyDescent="0.3">
      <c r="A77" s="95">
        <f>A67+7</f>
        <v>45917</v>
      </c>
      <c r="B77" s="14" t="s">
        <v>16</v>
      </c>
      <c r="C77" s="14" t="s">
        <v>0</v>
      </c>
      <c r="D77" s="14"/>
      <c r="E77" s="15" t="s">
        <v>52</v>
      </c>
      <c r="F77" s="15" t="s">
        <v>3</v>
      </c>
      <c r="G77" s="15" t="s">
        <v>172</v>
      </c>
      <c r="H77" s="14" t="str">
        <f>G76</f>
        <v>T1</v>
      </c>
      <c r="I77" s="14"/>
    </row>
    <row r="78" spans="1:9" ht="15" customHeight="1" x14ac:dyDescent="0.3">
      <c r="A78" s="13"/>
      <c r="B78" s="14" t="s">
        <v>17</v>
      </c>
      <c r="C78" s="14" t="s">
        <v>0</v>
      </c>
      <c r="D78" s="14"/>
      <c r="E78" s="15" t="s">
        <v>68</v>
      </c>
      <c r="F78" s="15" t="s">
        <v>3</v>
      </c>
      <c r="G78" s="15" t="s">
        <v>56</v>
      </c>
      <c r="H78" s="14" t="str">
        <f>G77</f>
        <v>T9</v>
      </c>
      <c r="I78" s="14" t="str">
        <f>G78</f>
        <v>T5</v>
      </c>
    </row>
    <row r="79" spans="1:9" ht="15" customHeight="1" x14ac:dyDescent="0.3">
      <c r="A79" s="13" t="s">
        <v>171</v>
      </c>
      <c r="B79" s="14" t="s">
        <v>15</v>
      </c>
      <c r="C79" s="14" t="s">
        <v>1</v>
      </c>
      <c r="D79" s="14" t="str">
        <f>E79</f>
        <v>G10</v>
      </c>
      <c r="E79" s="23" t="s">
        <v>88</v>
      </c>
      <c r="F79" s="23" t="s">
        <v>3</v>
      </c>
      <c r="G79" s="23" t="s">
        <v>87</v>
      </c>
      <c r="H79" s="14" t="str">
        <f>E80</f>
        <v>T3</v>
      </c>
      <c r="I79" s="14"/>
    </row>
    <row r="80" spans="1:9" ht="15" customHeight="1" x14ac:dyDescent="0.3">
      <c r="A80" s="16" t="s">
        <v>50</v>
      </c>
      <c r="B80" s="14" t="s">
        <v>16</v>
      </c>
      <c r="C80" s="14" t="s">
        <v>1</v>
      </c>
      <c r="D80" s="14"/>
      <c r="E80" s="15" t="s">
        <v>51</v>
      </c>
      <c r="F80" s="15" t="s">
        <v>3</v>
      </c>
      <c r="G80" s="15" t="s">
        <v>57</v>
      </c>
      <c r="H80" s="14" t="str">
        <f>E78</f>
        <v>T7</v>
      </c>
      <c r="I80" s="14"/>
    </row>
    <row r="81" spans="1:9" ht="15" customHeight="1" x14ac:dyDescent="0.3">
      <c r="A81" s="16"/>
      <c r="B81" s="14" t="s">
        <v>17</v>
      </c>
      <c r="C81" s="14" t="s">
        <v>1</v>
      </c>
      <c r="D81" s="14"/>
      <c r="E81" s="23" t="s">
        <v>85</v>
      </c>
      <c r="F81" s="23" t="s">
        <v>3</v>
      </c>
      <c r="G81" s="23" t="s">
        <v>79</v>
      </c>
      <c r="H81" s="14" t="str">
        <f>G80</f>
        <v>T6</v>
      </c>
      <c r="I81" s="14" t="str">
        <f>G81</f>
        <v>G1</v>
      </c>
    </row>
    <row r="82" spans="1:9" ht="15" customHeight="1" x14ac:dyDescent="0.3">
      <c r="A82" s="13"/>
      <c r="B82" s="14" t="s">
        <v>15</v>
      </c>
      <c r="C82" s="14" t="s">
        <v>2</v>
      </c>
      <c r="D82" s="14" t="str">
        <f>E82</f>
        <v>G8</v>
      </c>
      <c r="E82" s="23" t="s">
        <v>86</v>
      </c>
      <c r="F82" s="23" t="s">
        <v>3</v>
      </c>
      <c r="G82" s="23" t="s">
        <v>83</v>
      </c>
      <c r="H82" s="14" t="str">
        <f>E83</f>
        <v>G2</v>
      </c>
      <c r="I82" s="14"/>
    </row>
    <row r="83" spans="1:9" ht="15" customHeight="1" x14ac:dyDescent="0.3">
      <c r="A83" s="13"/>
      <c r="B83" s="14" t="s">
        <v>16</v>
      </c>
      <c r="C83" s="14" t="s">
        <v>2</v>
      </c>
      <c r="D83" s="14"/>
      <c r="E83" s="23" t="s">
        <v>80</v>
      </c>
      <c r="F83" s="23" t="s">
        <v>3</v>
      </c>
      <c r="G83" s="23" t="s">
        <v>82</v>
      </c>
      <c r="H83" s="14" t="str">
        <f>G82</f>
        <v>G5</v>
      </c>
      <c r="I83" s="14"/>
    </row>
    <row r="84" spans="1:9" ht="15" customHeight="1" x14ac:dyDescent="0.3">
      <c r="A84" s="13"/>
      <c r="B84" s="14" t="s">
        <v>17</v>
      </c>
      <c r="C84" s="14" t="s">
        <v>2</v>
      </c>
      <c r="D84" s="14"/>
      <c r="E84" s="23" t="s">
        <v>81</v>
      </c>
      <c r="F84" s="23" t="s">
        <v>3</v>
      </c>
      <c r="G84" s="23" t="s">
        <v>84</v>
      </c>
      <c r="H84" s="14" t="str">
        <f>G83</f>
        <v>G4</v>
      </c>
      <c r="I84" s="14" t="str">
        <f>G84</f>
        <v>G6</v>
      </c>
    </row>
    <row r="85" spans="1:9" ht="15" customHeight="1" x14ac:dyDescent="0.3">
      <c r="A85" s="17"/>
      <c r="B85" s="18"/>
      <c r="C85" s="18"/>
      <c r="D85" s="18"/>
      <c r="E85" s="18"/>
      <c r="F85" s="18"/>
      <c r="G85" s="18"/>
      <c r="H85" s="18"/>
      <c r="I85" s="18"/>
    </row>
    <row r="86" spans="1:9" ht="15" customHeight="1" x14ac:dyDescent="0.3">
      <c r="A86" s="98">
        <f>A77+7</f>
        <v>45924</v>
      </c>
      <c r="B86" s="96"/>
      <c r="C86" s="97"/>
      <c r="D86" s="147" t="s">
        <v>25</v>
      </c>
      <c r="E86" s="148"/>
      <c r="F86" s="148"/>
      <c r="G86" s="148"/>
      <c r="H86" s="148"/>
      <c r="I86" s="149"/>
    </row>
    <row r="87" spans="1:9" ht="15" customHeight="1" x14ac:dyDescent="0.3">
      <c r="A87" s="98">
        <f>A86+7</f>
        <v>45931</v>
      </c>
      <c r="B87" s="96"/>
      <c r="C87" s="97"/>
      <c r="D87" s="147" t="s">
        <v>25</v>
      </c>
      <c r="E87" s="148"/>
      <c r="F87" s="148"/>
      <c r="G87" s="148"/>
      <c r="H87" s="148"/>
      <c r="I87" s="149"/>
    </row>
    <row r="88" spans="1:9" ht="15" customHeight="1" x14ac:dyDescent="0.3">
      <c r="A88" s="17"/>
      <c r="B88" s="18"/>
      <c r="C88" s="18"/>
      <c r="D88" s="18"/>
      <c r="E88" s="18"/>
      <c r="F88" s="18"/>
      <c r="G88" s="18"/>
      <c r="H88" s="18"/>
      <c r="I88" s="18"/>
    </row>
    <row r="89" spans="1:9" ht="15" customHeight="1" x14ac:dyDescent="0.3">
      <c r="A89" s="13" t="s">
        <v>26</v>
      </c>
      <c r="B89" s="14" t="s">
        <v>15</v>
      </c>
      <c r="C89" s="14" t="s">
        <v>0</v>
      </c>
      <c r="D89" s="14" t="str">
        <f>E89</f>
        <v>T9</v>
      </c>
      <c r="E89" s="15" t="s">
        <v>172</v>
      </c>
      <c r="F89" s="15" t="s">
        <v>3</v>
      </c>
      <c r="G89" s="15" t="s">
        <v>50</v>
      </c>
      <c r="H89" s="14" t="str">
        <f>E90</f>
        <v>T1</v>
      </c>
      <c r="I89" s="14"/>
    </row>
    <row r="90" spans="1:9" ht="15" customHeight="1" x14ac:dyDescent="0.3">
      <c r="A90" s="95">
        <f>A87+7</f>
        <v>45938</v>
      </c>
      <c r="B90" s="14" t="s">
        <v>16</v>
      </c>
      <c r="C90" s="14" t="s">
        <v>0</v>
      </c>
      <c r="D90" s="14"/>
      <c r="E90" s="15" t="s">
        <v>49</v>
      </c>
      <c r="F90" s="15" t="s">
        <v>3</v>
      </c>
      <c r="G90" s="15" t="s">
        <v>68</v>
      </c>
      <c r="H90" s="14" t="str">
        <f>G89</f>
        <v>T2</v>
      </c>
      <c r="I90" s="14"/>
    </row>
    <row r="91" spans="1:9" ht="15" customHeight="1" x14ac:dyDescent="0.3">
      <c r="A91" s="13"/>
      <c r="B91" s="14" t="s">
        <v>17</v>
      </c>
      <c r="C91" s="14" t="s">
        <v>0</v>
      </c>
      <c r="D91" s="14"/>
      <c r="E91" s="15" t="s">
        <v>57</v>
      </c>
      <c r="F91" s="15" t="s">
        <v>3</v>
      </c>
      <c r="G91" s="15" t="s">
        <v>52</v>
      </c>
      <c r="H91" s="14" t="str">
        <f>G90</f>
        <v>T7</v>
      </c>
      <c r="I91" s="14" t="str">
        <f>G91</f>
        <v>T4</v>
      </c>
    </row>
    <row r="92" spans="1:9" ht="15" customHeight="1" x14ac:dyDescent="0.3">
      <c r="A92" s="13" t="s">
        <v>171</v>
      </c>
      <c r="B92" s="14" t="s">
        <v>15</v>
      </c>
      <c r="C92" s="14" t="s">
        <v>1</v>
      </c>
      <c r="D92" s="14" t="str">
        <f>E92</f>
        <v>G4</v>
      </c>
      <c r="E92" s="23" t="s">
        <v>82</v>
      </c>
      <c r="F92" s="23" t="s">
        <v>3</v>
      </c>
      <c r="G92" s="23" t="s">
        <v>84</v>
      </c>
      <c r="H92" s="14" t="str">
        <f>E93</f>
        <v>T5</v>
      </c>
      <c r="I92" s="14"/>
    </row>
    <row r="93" spans="1:9" ht="15" customHeight="1" x14ac:dyDescent="0.3">
      <c r="A93" s="16" t="s">
        <v>67</v>
      </c>
      <c r="B93" s="14" t="s">
        <v>16</v>
      </c>
      <c r="C93" s="14" t="s">
        <v>1</v>
      </c>
      <c r="D93" s="14"/>
      <c r="E93" s="15" t="s">
        <v>56</v>
      </c>
      <c r="F93" s="15" t="s">
        <v>3</v>
      </c>
      <c r="G93" s="15" t="s">
        <v>51</v>
      </c>
      <c r="H93" s="14" t="str">
        <f>E91</f>
        <v>T6</v>
      </c>
      <c r="I93" s="14"/>
    </row>
    <row r="94" spans="1:9" ht="15" customHeight="1" x14ac:dyDescent="0.3">
      <c r="A94" s="16"/>
      <c r="B94" s="14" t="s">
        <v>17</v>
      </c>
      <c r="C94" s="14" t="s">
        <v>1</v>
      </c>
      <c r="D94" s="14"/>
      <c r="E94" s="23" t="s">
        <v>83</v>
      </c>
      <c r="F94" s="23" t="s">
        <v>3</v>
      </c>
      <c r="G94" s="23" t="s">
        <v>81</v>
      </c>
      <c r="H94" s="14" t="str">
        <f>G93</f>
        <v>T3</v>
      </c>
      <c r="I94" s="14" t="str">
        <f>G94</f>
        <v>G3</v>
      </c>
    </row>
    <row r="95" spans="1:9" ht="15" customHeight="1" x14ac:dyDescent="0.3">
      <c r="A95" s="13"/>
      <c r="B95" s="14" t="s">
        <v>15</v>
      </c>
      <c r="C95" s="14" t="s">
        <v>2</v>
      </c>
      <c r="D95" s="14" t="str">
        <f>E95</f>
        <v>G1</v>
      </c>
      <c r="E95" s="23" t="s">
        <v>79</v>
      </c>
      <c r="F95" s="23" t="s">
        <v>3</v>
      </c>
      <c r="G95" s="23" t="s">
        <v>80</v>
      </c>
      <c r="H95" s="14" t="str">
        <f>E96</f>
        <v>G9</v>
      </c>
      <c r="I95" s="14"/>
    </row>
    <row r="96" spans="1:9" ht="15" customHeight="1" x14ac:dyDescent="0.3">
      <c r="A96" s="13"/>
      <c r="B96" s="14" t="s">
        <v>16</v>
      </c>
      <c r="C96" s="14" t="s">
        <v>2</v>
      </c>
      <c r="D96" s="14"/>
      <c r="E96" s="23" t="s">
        <v>87</v>
      </c>
      <c r="F96" s="23" t="s">
        <v>3</v>
      </c>
      <c r="G96" s="23" t="s">
        <v>85</v>
      </c>
      <c r="H96" s="14" t="str">
        <f>G95</f>
        <v>G2</v>
      </c>
      <c r="I96" s="14"/>
    </row>
    <row r="97" spans="1:9" ht="15" customHeight="1" x14ac:dyDescent="0.3">
      <c r="A97" s="13"/>
      <c r="B97" s="14" t="s">
        <v>17</v>
      </c>
      <c r="C97" s="14" t="s">
        <v>2</v>
      </c>
      <c r="D97" s="14"/>
      <c r="E97" s="23" t="s">
        <v>88</v>
      </c>
      <c r="F97" s="23" t="s">
        <v>3</v>
      </c>
      <c r="G97" s="23" t="s">
        <v>86</v>
      </c>
      <c r="H97" s="14" t="str">
        <f>G96</f>
        <v>G7</v>
      </c>
      <c r="I97" s="14" t="str">
        <f>G97</f>
        <v>G8</v>
      </c>
    </row>
    <row r="98" spans="1:9" ht="15" customHeight="1" x14ac:dyDescent="0.3">
      <c r="A98" s="17"/>
      <c r="B98" s="18"/>
      <c r="C98" s="18"/>
      <c r="D98" s="18"/>
      <c r="E98" s="18"/>
      <c r="F98" s="18"/>
      <c r="G98" s="18"/>
      <c r="H98" s="18"/>
      <c r="I98" s="18"/>
    </row>
    <row r="100" spans="1:9" ht="15" customHeight="1" x14ac:dyDescent="0.3">
      <c r="A100" s="9" t="s">
        <v>6</v>
      </c>
      <c r="B100" s="9" t="s">
        <v>7</v>
      </c>
      <c r="C100" s="9" t="s">
        <v>8</v>
      </c>
      <c r="D100" s="9" t="s">
        <v>9</v>
      </c>
      <c r="E100" s="9" t="s">
        <v>10</v>
      </c>
      <c r="F100" s="9"/>
      <c r="G100" s="9" t="s">
        <v>11</v>
      </c>
      <c r="H100" s="9" t="s">
        <v>12</v>
      </c>
      <c r="I100" s="9" t="s">
        <v>13</v>
      </c>
    </row>
    <row r="101" spans="1:9" ht="15" customHeight="1" x14ac:dyDescent="0.3">
      <c r="A101" s="13" t="s">
        <v>27</v>
      </c>
      <c r="B101" s="14" t="s">
        <v>15</v>
      </c>
      <c r="C101" s="14" t="s">
        <v>0</v>
      </c>
      <c r="D101" s="14" t="str">
        <f>E101</f>
        <v>T4</v>
      </c>
      <c r="E101" s="15" t="s">
        <v>52</v>
      </c>
      <c r="F101" s="15" t="s">
        <v>3</v>
      </c>
      <c r="G101" s="15" t="s">
        <v>56</v>
      </c>
      <c r="H101" s="14" t="str">
        <f>E102</f>
        <v>T3</v>
      </c>
      <c r="I101" s="14"/>
    </row>
    <row r="102" spans="1:9" ht="15" customHeight="1" x14ac:dyDescent="0.3">
      <c r="A102" s="95">
        <f>A90+7</f>
        <v>45945</v>
      </c>
      <c r="B102" s="14" t="s">
        <v>16</v>
      </c>
      <c r="C102" s="14" t="s">
        <v>0</v>
      </c>
      <c r="D102" s="14"/>
      <c r="E102" s="15" t="s">
        <v>51</v>
      </c>
      <c r="F102" s="15" t="s">
        <v>3</v>
      </c>
      <c r="G102" s="15" t="s">
        <v>49</v>
      </c>
      <c r="H102" s="14" t="str">
        <f>G101</f>
        <v>T5</v>
      </c>
      <c r="I102" s="14"/>
    </row>
    <row r="103" spans="1:9" ht="15" customHeight="1" x14ac:dyDescent="0.3">
      <c r="A103" s="13"/>
      <c r="B103" s="14" t="s">
        <v>17</v>
      </c>
      <c r="C103" s="14" t="s">
        <v>0</v>
      </c>
      <c r="D103" s="14"/>
      <c r="E103" s="15" t="s">
        <v>50</v>
      </c>
      <c r="F103" s="15" t="s">
        <v>3</v>
      </c>
      <c r="G103" s="15" t="s">
        <v>57</v>
      </c>
      <c r="H103" s="14" t="str">
        <f>G102</f>
        <v>T1</v>
      </c>
      <c r="I103" s="14" t="str">
        <f>G103</f>
        <v>T6</v>
      </c>
    </row>
    <row r="104" spans="1:9" ht="15" customHeight="1" x14ac:dyDescent="0.3">
      <c r="A104" s="13" t="s">
        <v>171</v>
      </c>
      <c r="B104" s="14" t="s">
        <v>15</v>
      </c>
      <c r="C104" s="14" t="s">
        <v>1</v>
      </c>
      <c r="D104" s="14" t="str">
        <f>E104</f>
        <v>G2</v>
      </c>
      <c r="E104" s="23" t="s">
        <v>80</v>
      </c>
      <c r="F104" s="23" t="s">
        <v>3</v>
      </c>
      <c r="G104" s="23" t="s">
        <v>85</v>
      </c>
      <c r="H104" s="14" t="str">
        <f>E105</f>
        <v>T7</v>
      </c>
      <c r="I104" s="14"/>
    </row>
    <row r="105" spans="1:9" ht="15" customHeight="1" x14ac:dyDescent="0.3">
      <c r="A105" s="16" t="s">
        <v>172</v>
      </c>
      <c r="B105" s="14" t="s">
        <v>16</v>
      </c>
      <c r="C105" s="14" t="s">
        <v>1</v>
      </c>
      <c r="D105" s="14"/>
      <c r="E105" s="15" t="s">
        <v>68</v>
      </c>
      <c r="F105" s="15" t="s">
        <v>3</v>
      </c>
      <c r="G105" s="15" t="s">
        <v>67</v>
      </c>
      <c r="H105" s="14" t="str">
        <f>E103</f>
        <v>T2</v>
      </c>
      <c r="I105" s="14"/>
    </row>
    <row r="106" spans="1:9" ht="15" customHeight="1" x14ac:dyDescent="0.3">
      <c r="A106" s="16"/>
      <c r="B106" s="14" t="s">
        <v>17</v>
      </c>
      <c r="C106" s="14" t="s">
        <v>1</v>
      </c>
      <c r="D106" s="14"/>
      <c r="E106" s="23" t="s">
        <v>88</v>
      </c>
      <c r="F106" s="23" t="s">
        <v>3</v>
      </c>
      <c r="G106" s="23" t="s">
        <v>81</v>
      </c>
      <c r="H106" s="14" t="str">
        <f>G105</f>
        <v>T8</v>
      </c>
      <c r="I106" s="14" t="str">
        <f>G106</f>
        <v>G3</v>
      </c>
    </row>
    <row r="107" spans="1:9" ht="15" customHeight="1" x14ac:dyDescent="0.3">
      <c r="A107" s="13"/>
      <c r="B107" s="14" t="s">
        <v>15</v>
      </c>
      <c r="C107" s="14" t="s">
        <v>2</v>
      </c>
      <c r="D107" s="14" t="str">
        <f>E107</f>
        <v>G9</v>
      </c>
      <c r="E107" s="23" t="s">
        <v>87</v>
      </c>
      <c r="F107" s="23" t="s">
        <v>3</v>
      </c>
      <c r="G107" s="23" t="s">
        <v>86</v>
      </c>
      <c r="H107" s="14" t="str">
        <f>E108</f>
        <v>G6</v>
      </c>
      <c r="I107" s="14"/>
    </row>
    <row r="108" spans="1:9" ht="15" customHeight="1" x14ac:dyDescent="0.3">
      <c r="A108" s="13"/>
      <c r="B108" s="14" t="s">
        <v>16</v>
      </c>
      <c r="C108" s="14" t="s">
        <v>2</v>
      </c>
      <c r="D108" s="14"/>
      <c r="E108" s="23" t="s">
        <v>84</v>
      </c>
      <c r="F108" s="23" t="s">
        <v>3</v>
      </c>
      <c r="G108" s="23" t="s">
        <v>79</v>
      </c>
      <c r="H108" s="14" t="str">
        <f>E106</f>
        <v>G10</v>
      </c>
      <c r="I108" s="14"/>
    </row>
    <row r="109" spans="1:9" ht="15" customHeight="1" x14ac:dyDescent="0.3">
      <c r="A109" s="13"/>
      <c r="B109" s="14" t="s">
        <v>17</v>
      </c>
      <c r="C109" s="14" t="s">
        <v>2</v>
      </c>
      <c r="D109" s="14"/>
      <c r="E109" s="23" t="s">
        <v>82</v>
      </c>
      <c r="F109" s="23" t="s">
        <v>3</v>
      </c>
      <c r="G109" s="23" t="s">
        <v>83</v>
      </c>
      <c r="H109" s="14" t="str">
        <f>G108</f>
        <v>G1</v>
      </c>
      <c r="I109" s="14" t="str">
        <f>G109</f>
        <v>G5</v>
      </c>
    </row>
    <row r="110" spans="1:9" ht="15" customHeight="1" x14ac:dyDescent="0.3">
      <c r="A110" s="17"/>
      <c r="B110" s="18"/>
      <c r="C110" s="18"/>
      <c r="D110" s="18"/>
      <c r="E110" s="18"/>
      <c r="F110" s="18"/>
      <c r="G110" s="18"/>
      <c r="H110" s="18"/>
      <c r="I110" s="18"/>
    </row>
    <row r="111" spans="1:9" ht="15" customHeight="1" x14ac:dyDescent="0.3">
      <c r="A111" s="13" t="s">
        <v>28</v>
      </c>
      <c r="B111" s="14" t="s">
        <v>15</v>
      </c>
      <c r="C111" s="14" t="s">
        <v>0</v>
      </c>
      <c r="D111" s="14" t="str">
        <f>E111</f>
        <v>T2</v>
      </c>
      <c r="E111" s="15" t="s">
        <v>50</v>
      </c>
      <c r="F111" s="15" t="s">
        <v>3</v>
      </c>
      <c r="G111" s="15" t="s">
        <v>49</v>
      </c>
      <c r="H111" s="14" t="str">
        <f>E112</f>
        <v>T4</v>
      </c>
      <c r="I111" s="14"/>
    </row>
    <row r="112" spans="1:9" ht="15" customHeight="1" x14ac:dyDescent="0.3">
      <c r="A112" s="95">
        <f>A102+7</f>
        <v>45952</v>
      </c>
      <c r="B112" s="14" t="s">
        <v>16</v>
      </c>
      <c r="C112" s="14" t="s">
        <v>0</v>
      </c>
      <c r="D112" s="14"/>
      <c r="E112" s="15" t="s">
        <v>52</v>
      </c>
      <c r="F112" s="15" t="s">
        <v>3</v>
      </c>
      <c r="G112" s="15" t="s">
        <v>67</v>
      </c>
      <c r="H112" s="14" t="str">
        <f>G111</f>
        <v>T1</v>
      </c>
      <c r="I112" s="14"/>
    </row>
    <row r="113" spans="1:9" ht="15" customHeight="1" x14ac:dyDescent="0.3">
      <c r="A113" s="16"/>
      <c r="B113" s="14" t="s">
        <v>17</v>
      </c>
      <c r="C113" s="14" t="s">
        <v>0</v>
      </c>
      <c r="D113" s="14"/>
      <c r="E113" s="15" t="s">
        <v>172</v>
      </c>
      <c r="F113" s="15" t="s">
        <v>3</v>
      </c>
      <c r="G113" s="15" t="s">
        <v>56</v>
      </c>
      <c r="H113" s="14" t="str">
        <f>G112</f>
        <v>T8</v>
      </c>
      <c r="I113" s="14" t="str">
        <f>G113</f>
        <v>T5</v>
      </c>
    </row>
    <row r="114" spans="1:9" ht="15" customHeight="1" x14ac:dyDescent="0.3">
      <c r="A114" s="13" t="s">
        <v>171</v>
      </c>
      <c r="B114" s="14" t="s">
        <v>15</v>
      </c>
      <c r="C114" s="14" t="s">
        <v>1</v>
      </c>
      <c r="D114" s="14" t="str">
        <f>E114</f>
        <v>G9</v>
      </c>
      <c r="E114" s="23" t="s">
        <v>87</v>
      </c>
      <c r="F114" s="23" t="s">
        <v>3</v>
      </c>
      <c r="G114" s="23" t="s">
        <v>80</v>
      </c>
      <c r="H114" s="14" t="str">
        <f>E115</f>
        <v>T3</v>
      </c>
      <c r="I114" s="14"/>
    </row>
    <row r="115" spans="1:9" ht="15" customHeight="1" x14ac:dyDescent="0.3">
      <c r="A115" s="16" t="s">
        <v>57</v>
      </c>
      <c r="B115" s="14" t="s">
        <v>16</v>
      </c>
      <c r="C115" s="14" t="s">
        <v>1</v>
      </c>
      <c r="D115" s="14"/>
      <c r="E115" s="15" t="s">
        <v>51</v>
      </c>
      <c r="F115" s="15" t="s">
        <v>3</v>
      </c>
      <c r="G115" s="15" t="s">
        <v>68</v>
      </c>
      <c r="H115" s="14" t="str">
        <f>E113</f>
        <v>T9</v>
      </c>
      <c r="I115" s="14"/>
    </row>
    <row r="116" spans="1:9" ht="15" customHeight="1" x14ac:dyDescent="0.3">
      <c r="A116" s="16"/>
      <c r="B116" s="14" t="s">
        <v>17</v>
      </c>
      <c r="C116" s="14" t="s">
        <v>1</v>
      </c>
      <c r="D116" s="14"/>
      <c r="E116" s="23" t="s">
        <v>88</v>
      </c>
      <c r="F116" s="23" t="s">
        <v>3</v>
      </c>
      <c r="G116" s="23" t="s">
        <v>82</v>
      </c>
      <c r="H116" s="14" t="str">
        <f>G115</f>
        <v>T7</v>
      </c>
      <c r="I116" s="14" t="str">
        <f>G116</f>
        <v>G4</v>
      </c>
    </row>
    <row r="117" spans="1:9" ht="15" customHeight="1" x14ac:dyDescent="0.3">
      <c r="A117" s="16"/>
      <c r="B117" s="14" t="s">
        <v>15</v>
      </c>
      <c r="C117" s="14" t="s">
        <v>2</v>
      </c>
      <c r="D117" s="14" t="str">
        <f>E117</f>
        <v>G7</v>
      </c>
      <c r="E117" s="23" t="s">
        <v>85</v>
      </c>
      <c r="F117" s="23" t="s">
        <v>3</v>
      </c>
      <c r="G117" s="23" t="s">
        <v>84</v>
      </c>
      <c r="H117" s="14" t="str">
        <f>E118</f>
        <v>G8</v>
      </c>
      <c r="I117" s="14"/>
    </row>
    <row r="118" spans="1:9" ht="15" customHeight="1" x14ac:dyDescent="0.3">
      <c r="A118" s="13"/>
      <c r="B118" s="14" t="s">
        <v>16</v>
      </c>
      <c r="C118" s="14" t="s">
        <v>2</v>
      </c>
      <c r="D118" s="14"/>
      <c r="E118" s="23" t="s">
        <v>86</v>
      </c>
      <c r="F118" s="23" t="s">
        <v>3</v>
      </c>
      <c r="G118" s="23" t="s">
        <v>81</v>
      </c>
      <c r="H118" s="14" t="str">
        <f>G117</f>
        <v>G6</v>
      </c>
      <c r="I118" s="14"/>
    </row>
    <row r="119" spans="1:9" ht="15" customHeight="1" x14ac:dyDescent="0.3">
      <c r="A119" s="13"/>
      <c r="B119" s="14" t="s">
        <v>17</v>
      </c>
      <c r="C119" s="14" t="s">
        <v>2</v>
      </c>
      <c r="D119" s="14"/>
      <c r="E119" s="23" t="s">
        <v>79</v>
      </c>
      <c r="F119" s="23" t="s">
        <v>3</v>
      </c>
      <c r="G119" s="23" t="s">
        <v>83</v>
      </c>
      <c r="H119" s="14" t="str">
        <f>G118</f>
        <v>G3</v>
      </c>
      <c r="I119" s="14" t="str">
        <f>G119</f>
        <v>G5</v>
      </c>
    </row>
    <row r="120" spans="1:9" ht="15" customHeight="1" x14ac:dyDescent="0.3">
      <c r="A120" s="17"/>
      <c r="B120" s="18"/>
      <c r="C120" s="18"/>
      <c r="D120" s="18"/>
      <c r="E120" s="18"/>
      <c r="F120" s="18"/>
      <c r="G120" s="18"/>
      <c r="H120" s="18"/>
      <c r="I120" s="18"/>
    </row>
    <row r="121" spans="1:9" ht="15" customHeight="1" x14ac:dyDescent="0.3">
      <c r="A121" s="13" t="s">
        <v>29</v>
      </c>
      <c r="B121" s="14" t="s">
        <v>15</v>
      </c>
      <c r="C121" s="14" t="s">
        <v>0</v>
      </c>
      <c r="D121" s="14" t="str">
        <f>E121</f>
        <v>T8</v>
      </c>
      <c r="E121" s="15" t="s">
        <v>67</v>
      </c>
      <c r="F121" s="15" t="s">
        <v>3</v>
      </c>
      <c r="G121" s="15" t="s">
        <v>172</v>
      </c>
      <c r="H121" s="14" t="str">
        <f>E122</f>
        <v>T7</v>
      </c>
      <c r="I121" s="14"/>
    </row>
    <row r="122" spans="1:9" ht="15" customHeight="1" x14ac:dyDescent="0.3">
      <c r="A122" s="95">
        <f>A112+7</f>
        <v>45959</v>
      </c>
      <c r="B122" s="14" t="s">
        <v>16</v>
      </c>
      <c r="C122" s="14" t="s">
        <v>0</v>
      </c>
      <c r="D122" s="14"/>
      <c r="E122" s="15" t="s">
        <v>68</v>
      </c>
      <c r="F122" s="15" t="s">
        <v>3</v>
      </c>
      <c r="G122" s="15" t="s">
        <v>50</v>
      </c>
      <c r="H122" s="14" t="str">
        <f>G121</f>
        <v>T9</v>
      </c>
      <c r="I122" s="14"/>
    </row>
    <row r="123" spans="1:9" ht="15" customHeight="1" x14ac:dyDescent="0.3">
      <c r="A123" s="13"/>
      <c r="B123" s="14" t="s">
        <v>17</v>
      </c>
      <c r="C123" s="14" t="s">
        <v>0</v>
      </c>
      <c r="D123" s="14"/>
      <c r="E123" s="15" t="s">
        <v>49</v>
      </c>
      <c r="F123" s="15" t="s">
        <v>3</v>
      </c>
      <c r="G123" s="15" t="s">
        <v>57</v>
      </c>
      <c r="H123" s="14" t="str">
        <f>G122</f>
        <v>T2</v>
      </c>
      <c r="I123" s="14" t="str">
        <f>G123</f>
        <v>T6</v>
      </c>
    </row>
    <row r="124" spans="1:9" ht="15" customHeight="1" x14ac:dyDescent="0.3">
      <c r="A124" s="13" t="s">
        <v>171</v>
      </c>
      <c r="B124" s="14" t="s">
        <v>15</v>
      </c>
      <c r="C124" s="14" t="s">
        <v>1</v>
      </c>
      <c r="D124" s="14" t="str">
        <f>E124</f>
        <v>G9</v>
      </c>
      <c r="E124" s="23" t="s">
        <v>87</v>
      </c>
      <c r="F124" s="23" t="s">
        <v>3</v>
      </c>
      <c r="G124" s="23" t="s">
        <v>81</v>
      </c>
      <c r="H124" s="14" t="str">
        <f>E125</f>
        <v>T3</v>
      </c>
      <c r="I124" s="14"/>
    </row>
    <row r="125" spans="1:9" ht="15" customHeight="1" x14ac:dyDescent="0.3">
      <c r="A125" s="16" t="s">
        <v>56</v>
      </c>
      <c r="B125" s="14" t="s">
        <v>16</v>
      </c>
      <c r="C125" s="14" t="s">
        <v>1</v>
      </c>
      <c r="D125" s="14"/>
      <c r="E125" s="15" t="s">
        <v>51</v>
      </c>
      <c r="F125" s="15" t="s">
        <v>3</v>
      </c>
      <c r="G125" s="15" t="s">
        <v>52</v>
      </c>
      <c r="H125" s="14" t="str">
        <f>E123</f>
        <v>T1</v>
      </c>
      <c r="I125" s="14"/>
    </row>
    <row r="126" spans="1:9" ht="15" customHeight="1" x14ac:dyDescent="0.3">
      <c r="A126" s="16"/>
      <c r="B126" s="14" t="s">
        <v>17</v>
      </c>
      <c r="C126" s="14" t="s">
        <v>1</v>
      </c>
      <c r="D126" s="14"/>
      <c r="E126" s="23" t="s">
        <v>84</v>
      </c>
      <c r="F126" s="23" t="s">
        <v>3</v>
      </c>
      <c r="G126" s="23" t="s">
        <v>80</v>
      </c>
      <c r="H126" s="14" t="str">
        <f>G125</f>
        <v>T4</v>
      </c>
      <c r="I126" s="14" t="str">
        <f>G126</f>
        <v>G2</v>
      </c>
    </row>
    <row r="127" spans="1:9" ht="15" customHeight="1" x14ac:dyDescent="0.3">
      <c r="A127" s="13"/>
      <c r="B127" s="14" t="s">
        <v>15</v>
      </c>
      <c r="C127" s="14" t="s">
        <v>2</v>
      </c>
      <c r="D127" s="14" t="str">
        <f>E127</f>
        <v>G4</v>
      </c>
      <c r="E127" s="23" t="s">
        <v>82</v>
      </c>
      <c r="F127" s="23" t="s">
        <v>3</v>
      </c>
      <c r="G127" s="23" t="s">
        <v>86</v>
      </c>
      <c r="H127" s="14" t="str">
        <f>E128</f>
        <v>G5</v>
      </c>
      <c r="I127" s="14"/>
    </row>
    <row r="128" spans="1:9" ht="15" customHeight="1" x14ac:dyDescent="0.3">
      <c r="A128" s="13"/>
      <c r="B128" s="14" t="s">
        <v>16</v>
      </c>
      <c r="C128" s="14" t="s">
        <v>2</v>
      </c>
      <c r="D128" s="14"/>
      <c r="E128" s="23" t="s">
        <v>83</v>
      </c>
      <c r="F128" s="23" t="s">
        <v>3</v>
      </c>
      <c r="G128" s="23" t="s">
        <v>85</v>
      </c>
      <c r="H128" s="14" t="str">
        <f>G127</f>
        <v>G8</v>
      </c>
      <c r="I128" s="14"/>
    </row>
    <row r="129" spans="1:9" ht="15" customHeight="1" x14ac:dyDescent="0.3">
      <c r="A129" s="13"/>
      <c r="B129" s="14" t="s">
        <v>17</v>
      </c>
      <c r="C129" s="14" t="s">
        <v>2</v>
      </c>
      <c r="D129" s="14"/>
      <c r="E129" s="23" t="s">
        <v>79</v>
      </c>
      <c r="F129" s="23" t="s">
        <v>3</v>
      </c>
      <c r="G129" s="23" t="s">
        <v>88</v>
      </c>
      <c r="H129" s="14" t="str">
        <f>G128</f>
        <v>G7</v>
      </c>
      <c r="I129" s="14" t="str">
        <f>G129</f>
        <v>G10</v>
      </c>
    </row>
    <row r="130" spans="1:9" ht="15" customHeight="1" x14ac:dyDescent="0.3">
      <c r="A130" s="17"/>
      <c r="B130" s="18"/>
      <c r="C130" s="18"/>
      <c r="D130" s="18"/>
      <c r="E130" s="18"/>
      <c r="F130" s="18"/>
      <c r="G130" s="18"/>
      <c r="H130" s="18"/>
      <c r="I130" s="18"/>
    </row>
    <row r="131" spans="1:9" ht="15" customHeight="1" x14ac:dyDescent="0.3">
      <c r="A131" s="17"/>
      <c r="B131" s="18"/>
      <c r="C131" s="18"/>
      <c r="D131" s="18"/>
      <c r="E131" s="18"/>
      <c r="F131" s="18"/>
      <c r="G131" s="18"/>
      <c r="H131" s="18"/>
      <c r="I131" s="18"/>
    </row>
    <row r="132" spans="1:9" ht="15" customHeight="1" x14ac:dyDescent="0.3">
      <c r="A132" s="9" t="s">
        <v>6</v>
      </c>
      <c r="B132" s="9" t="s">
        <v>7</v>
      </c>
      <c r="C132" s="9" t="s">
        <v>8</v>
      </c>
      <c r="D132" s="9" t="s">
        <v>9</v>
      </c>
      <c r="E132" s="9" t="s">
        <v>10</v>
      </c>
      <c r="F132" s="9"/>
      <c r="G132" s="9" t="s">
        <v>11</v>
      </c>
      <c r="H132" s="9" t="s">
        <v>12</v>
      </c>
      <c r="I132" s="9" t="s">
        <v>13</v>
      </c>
    </row>
    <row r="133" spans="1:9" ht="15" customHeight="1" x14ac:dyDescent="0.3">
      <c r="A133" s="13" t="s">
        <v>30</v>
      </c>
      <c r="B133" s="14" t="s">
        <v>15</v>
      </c>
      <c r="C133" s="14" t="s">
        <v>0</v>
      </c>
      <c r="D133" s="14" t="str">
        <f>E133</f>
        <v>T9</v>
      </c>
      <c r="E133" s="15" t="s">
        <v>172</v>
      </c>
      <c r="F133" s="15" t="s">
        <v>3</v>
      </c>
      <c r="G133" s="15" t="s">
        <v>68</v>
      </c>
      <c r="H133" s="14" t="str">
        <f>E134</f>
        <v>T6</v>
      </c>
      <c r="I133" s="14"/>
    </row>
    <row r="134" spans="1:9" ht="15" customHeight="1" x14ac:dyDescent="0.3">
      <c r="A134" s="95">
        <f>A122+7</f>
        <v>45966</v>
      </c>
      <c r="B134" s="14" t="s">
        <v>16</v>
      </c>
      <c r="C134" s="14" t="s">
        <v>0</v>
      </c>
      <c r="D134" s="14"/>
      <c r="E134" s="15" t="s">
        <v>57</v>
      </c>
      <c r="F134" s="15" t="s">
        <v>3</v>
      </c>
      <c r="G134" s="15" t="s">
        <v>67</v>
      </c>
      <c r="H134" s="14" t="str">
        <f>G133</f>
        <v>T7</v>
      </c>
      <c r="I134" s="14"/>
    </row>
    <row r="135" spans="1:9" ht="15" customHeight="1" x14ac:dyDescent="0.3">
      <c r="A135" s="13"/>
      <c r="B135" s="14" t="s">
        <v>17</v>
      </c>
      <c r="C135" s="14" t="s">
        <v>0</v>
      </c>
      <c r="D135" s="14"/>
      <c r="E135" s="15" t="s">
        <v>50</v>
      </c>
      <c r="F135" s="15" t="s">
        <v>3</v>
      </c>
      <c r="G135" s="15" t="s">
        <v>51</v>
      </c>
      <c r="H135" s="14" t="str">
        <f>G134</f>
        <v>T8</v>
      </c>
      <c r="I135" s="14" t="str">
        <f>G135</f>
        <v>T3</v>
      </c>
    </row>
    <row r="136" spans="1:9" ht="15" customHeight="1" x14ac:dyDescent="0.3">
      <c r="A136" s="13" t="s">
        <v>171</v>
      </c>
      <c r="B136" s="14" t="s">
        <v>15</v>
      </c>
      <c r="C136" s="14" t="s">
        <v>1</v>
      </c>
      <c r="D136" s="14" t="str">
        <f>E136</f>
        <v>G6</v>
      </c>
      <c r="E136" s="23" t="s">
        <v>84</v>
      </c>
      <c r="F136" s="23" t="s">
        <v>3</v>
      </c>
      <c r="G136" s="23" t="s">
        <v>87</v>
      </c>
      <c r="H136" s="14" t="str">
        <f>E137</f>
        <v>T5</v>
      </c>
      <c r="I136" s="14"/>
    </row>
    <row r="137" spans="1:9" ht="15" customHeight="1" x14ac:dyDescent="0.3">
      <c r="A137" s="16" t="s">
        <v>52</v>
      </c>
      <c r="B137" s="14" t="s">
        <v>16</v>
      </c>
      <c r="C137" s="14" t="s">
        <v>1</v>
      </c>
      <c r="D137" s="14"/>
      <c r="E137" s="15" t="s">
        <v>56</v>
      </c>
      <c r="F137" s="15" t="s">
        <v>3</v>
      </c>
      <c r="G137" s="15" t="s">
        <v>49</v>
      </c>
      <c r="H137" s="14" t="str">
        <f>E135</f>
        <v>T2</v>
      </c>
      <c r="I137" s="14"/>
    </row>
    <row r="138" spans="1:9" ht="15" customHeight="1" x14ac:dyDescent="0.3">
      <c r="A138" s="16"/>
      <c r="B138" s="14" t="s">
        <v>17</v>
      </c>
      <c r="C138" s="14" t="s">
        <v>1</v>
      </c>
      <c r="D138" s="14"/>
      <c r="E138" s="23" t="s">
        <v>82</v>
      </c>
      <c r="F138" s="23" t="s">
        <v>3</v>
      </c>
      <c r="G138" s="23" t="s">
        <v>81</v>
      </c>
      <c r="H138" s="14" t="str">
        <f>G137</f>
        <v>T1</v>
      </c>
      <c r="I138" s="14" t="str">
        <f>G138</f>
        <v>G3</v>
      </c>
    </row>
    <row r="139" spans="1:9" ht="15" customHeight="1" x14ac:dyDescent="0.3">
      <c r="A139" s="13"/>
      <c r="B139" s="14" t="s">
        <v>15</v>
      </c>
      <c r="C139" s="14" t="s">
        <v>2</v>
      </c>
      <c r="D139" s="14" t="str">
        <f>E139</f>
        <v>G5</v>
      </c>
      <c r="E139" s="23" t="s">
        <v>83</v>
      </c>
      <c r="F139" s="23" t="s">
        <v>3</v>
      </c>
      <c r="G139" s="23" t="s">
        <v>80</v>
      </c>
      <c r="H139" s="14" t="str">
        <f>E140</f>
        <v>G1</v>
      </c>
      <c r="I139" s="14"/>
    </row>
    <row r="140" spans="1:9" ht="15" customHeight="1" x14ac:dyDescent="0.3">
      <c r="A140" s="13"/>
      <c r="B140" s="14" t="s">
        <v>16</v>
      </c>
      <c r="C140" s="14" t="s">
        <v>2</v>
      </c>
      <c r="D140" s="14"/>
      <c r="E140" s="23" t="s">
        <v>79</v>
      </c>
      <c r="F140" s="23" t="s">
        <v>3</v>
      </c>
      <c r="G140" s="23" t="s">
        <v>86</v>
      </c>
      <c r="H140" s="14" t="str">
        <f>G139</f>
        <v>G2</v>
      </c>
      <c r="I140" s="14"/>
    </row>
    <row r="141" spans="1:9" ht="15" customHeight="1" x14ac:dyDescent="0.3">
      <c r="A141" s="13"/>
      <c r="B141" s="14" t="s">
        <v>17</v>
      </c>
      <c r="C141" s="14" t="s">
        <v>2</v>
      </c>
      <c r="D141" s="14"/>
      <c r="E141" s="23" t="s">
        <v>88</v>
      </c>
      <c r="F141" s="23" t="s">
        <v>3</v>
      </c>
      <c r="G141" s="23" t="s">
        <v>85</v>
      </c>
      <c r="H141" s="14" t="str">
        <f>G140</f>
        <v>G8</v>
      </c>
      <c r="I141" s="14" t="str">
        <f>G141</f>
        <v>G7</v>
      </c>
    </row>
    <row r="142" spans="1:9" ht="15" customHeight="1" x14ac:dyDescent="0.3">
      <c r="A142" s="17"/>
      <c r="B142" s="18"/>
      <c r="C142" s="18"/>
      <c r="D142" s="18"/>
      <c r="E142" s="18"/>
      <c r="F142" s="18"/>
      <c r="G142" s="18"/>
      <c r="H142" s="18"/>
      <c r="I142" s="18"/>
    </row>
    <row r="143" spans="1:9" ht="15" customHeight="1" x14ac:dyDescent="0.3">
      <c r="A143" s="13" t="s">
        <v>31</v>
      </c>
      <c r="B143" s="14" t="s">
        <v>15</v>
      </c>
      <c r="C143" s="14" t="s">
        <v>0</v>
      </c>
      <c r="D143" s="14" t="str">
        <f>E143</f>
        <v>T7</v>
      </c>
      <c r="E143" s="15" t="s">
        <v>68</v>
      </c>
      <c r="F143" s="15" t="s">
        <v>69</v>
      </c>
      <c r="G143" s="15" t="s">
        <v>57</v>
      </c>
      <c r="H143" s="14" t="str">
        <f>E144</f>
        <v>T3</v>
      </c>
      <c r="I143" s="14"/>
    </row>
    <row r="144" spans="1:9" ht="15" customHeight="1" x14ac:dyDescent="0.3">
      <c r="A144" s="95">
        <f>A134+7</f>
        <v>45973</v>
      </c>
      <c r="B144" s="14" t="s">
        <v>16</v>
      </c>
      <c r="C144" s="14" t="s">
        <v>0</v>
      </c>
      <c r="D144" s="14"/>
      <c r="E144" s="15" t="s">
        <v>51</v>
      </c>
      <c r="F144" s="15" t="s">
        <v>3</v>
      </c>
      <c r="G144" s="15" t="s">
        <v>172</v>
      </c>
      <c r="H144" s="14" t="str">
        <f>G143</f>
        <v>T6</v>
      </c>
      <c r="I144" s="14"/>
    </row>
    <row r="145" spans="1:9" ht="15" customHeight="1" x14ac:dyDescent="0.3">
      <c r="A145" s="13"/>
      <c r="B145" s="14" t="s">
        <v>17</v>
      </c>
      <c r="C145" s="14" t="s">
        <v>0</v>
      </c>
      <c r="D145" s="14"/>
      <c r="E145" s="15" t="s">
        <v>67</v>
      </c>
      <c r="F145" s="15" t="s">
        <v>3</v>
      </c>
      <c r="G145" s="15" t="s">
        <v>56</v>
      </c>
      <c r="H145" s="14" t="str">
        <f>G144</f>
        <v>T9</v>
      </c>
      <c r="I145" s="14" t="str">
        <f>G145</f>
        <v>T5</v>
      </c>
    </row>
    <row r="146" spans="1:9" ht="15" customHeight="1" x14ac:dyDescent="0.3">
      <c r="A146" s="13" t="s">
        <v>171</v>
      </c>
      <c r="B146" s="14" t="s">
        <v>15</v>
      </c>
      <c r="C146" s="14" t="s">
        <v>1</v>
      </c>
      <c r="D146" s="14" t="str">
        <f>E146</f>
        <v>G4</v>
      </c>
      <c r="E146" s="23" t="s">
        <v>82</v>
      </c>
      <c r="F146" s="23" t="s">
        <v>3</v>
      </c>
      <c r="G146" s="23" t="s">
        <v>87</v>
      </c>
      <c r="H146" s="14" t="str">
        <f>E147</f>
        <v>T4</v>
      </c>
      <c r="I146" s="14"/>
    </row>
    <row r="147" spans="1:9" ht="15" customHeight="1" x14ac:dyDescent="0.3">
      <c r="A147" s="16" t="s">
        <v>49</v>
      </c>
      <c r="B147" s="14" t="s">
        <v>16</v>
      </c>
      <c r="C147" s="14" t="s">
        <v>1</v>
      </c>
      <c r="D147" s="14"/>
      <c r="E147" s="15" t="s">
        <v>52</v>
      </c>
      <c r="F147" s="15" t="s">
        <v>3</v>
      </c>
      <c r="G147" s="15" t="s">
        <v>50</v>
      </c>
      <c r="H147" s="14" t="str">
        <f>E145</f>
        <v>T8</v>
      </c>
      <c r="I147" s="14"/>
    </row>
    <row r="148" spans="1:9" ht="15" customHeight="1" x14ac:dyDescent="0.3">
      <c r="A148" s="16"/>
      <c r="B148" s="14" t="s">
        <v>17</v>
      </c>
      <c r="C148" s="14" t="s">
        <v>1</v>
      </c>
      <c r="D148" s="14"/>
      <c r="E148" s="23" t="s">
        <v>83</v>
      </c>
      <c r="F148" s="23" t="s">
        <v>3</v>
      </c>
      <c r="G148" s="23" t="s">
        <v>84</v>
      </c>
      <c r="H148" s="14" t="str">
        <f>G147</f>
        <v>T2</v>
      </c>
      <c r="I148" s="14" t="str">
        <f>G148</f>
        <v>G6</v>
      </c>
    </row>
    <row r="149" spans="1:9" ht="15" customHeight="1" x14ac:dyDescent="0.3">
      <c r="A149" s="13"/>
      <c r="B149" s="14" t="s">
        <v>15</v>
      </c>
      <c r="C149" s="14" t="s">
        <v>2</v>
      </c>
      <c r="D149" s="14" t="str">
        <f>E149</f>
        <v>G1</v>
      </c>
      <c r="E149" s="23" t="s">
        <v>79</v>
      </c>
      <c r="F149" s="23" t="s">
        <v>3</v>
      </c>
      <c r="G149" s="23" t="s">
        <v>81</v>
      </c>
      <c r="H149" s="14" t="str">
        <f>E150</f>
        <v>G10</v>
      </c>
      <c r="I149" s="14"/>
    </row>
    <row r="150" spans="1:9" ht="15" customHeight="1" x14ac:dyDescent="0.3">
      <c r="A150" s="13"/>
      <c r="B150" s="14" t="s">
        <v>16</v>
      </c>
      <c r="C150" s="14" t="s">
        <v>2</v>
      </c>
      <c r="D150" s="14"/>
      <c r="E150" s="23" t="s">
        <v>88</v>
      </c>
      <c r="F150" s="23" t="s">
        <v>3</v>
      </c>
      <c r="G150" s="23" t="s">
        <v>80</v>
      </c>
      <c r="H150" s="14" t="str">
        <f>G149</f>
        <v>G3</v>
      </c>
      <c r="I150" s="14"/>
    </row>
    <row r="151" spans="1:9" ht="15" customHeight="1" x14ac:dyDescent="0.3">
      <c r="A151" s="13"/>
      <c r="B151" s="14" t="s">
        <v>17</v>
      </c>
      <c r="C151" s="14" t="s">
        <v>2</v>
      </c>
      <c r="D151" s="14"/>
      <c r="E151" s="23" t="s">
        <v>85</v>
      </c>
      <c r="F151" s="23" t="s">
        <v>3</v>
      </c>
      <c r="G151" s="23" t="s">
        <v>86</v>
      </c>
      <c r="H151" s="14" t="str">
        <f>G150</f>
        <v>G2</v>
      </c>
      <c r="I151" s="14" t="str">
        <f>G151</f>
        <v>G8</v>
      </c>
    </row>
    <row r="152" spans="1:9" ht="15" customHeight="1" x14ac:dyDescent="0.3">
      <c r="A152" s="17"/>
      <c r="B152" s="18"/>
      <c r="C152" s="18"/>
      <c r="D152" s="18"/>
      <c r="E152" s="18"/>
      <c r="F152" s="18"/>
      <c r="G152" s="18"/>
      <c r="H152" s="18"/>
      <c r="I152" s="18"/>
    </row>
    <row r="153" spans="1:9" ht="15" customHeight="1" x14ac:dyDescent="0.3">
      <c r="A153" s="13" t="s">
        <v>32</v>
      </c>
      <c r="B153" s="14" t="s">
        <v>15</v>
      </c>
      <c r="C153" s="14" t="s">
        <v>0</v>
      </c>
      <c r="D153" s="14" t="str">
        <f>E153</f>
        <v>T2</v>
      </c>
      <c r="E153" s="15" t="s">
        <v>50</v>
      </c>
      <c r="F153" s="15" t="s">
        <v>3</v>
      </c>
      <c r="G153" s="15" t="s">
        <v>172</v>
      </c>
      <c r="H153" s="14" t="str">
        <f>E154</f>
        <v>T4</v>
      </c>
      <c r="I153" s="14"/>
    </row>
    <row r="154" spans="1:9" ht="15" customHeight="1" x14ac:dyDescent="0.3">
      <c r="A154" s="95">
        <f>A144+7</f>
        <v>45980</v>
      </c>
      <c r="B154" s="14" t="s">
        <v>16</v>
      </c>
      <c r="C154" s="14" t="s">
        <v>0</v>
      </c>
      <c r="D154" s="14"/>
      <c r="E154" s="15" t="s">
        <v>52</v>
      </c>
      <c r="F154" s="15" t="s">
        <v>3</v>
      </c>
      <c r="G154" s="15" t="s">
        <v>57</v>
      </c>
      <c r="H154" s="14" t="str">
        <f>G153</f>
        <v>T9</v>
      </c>
      <c r="I154" s="14"/>
    </row>
    <row r="155" spans="1:9" ht="15" customHeight="1" x14ac:dyDescent="0.3">
      <c r="A155" s="13"/>
      <c r="B155" s="14" t="s">
        <v>17</v>
      </c>
      <c r="C155" s="14" t="s">
        <v>0</v>
      </c>
      <c r="D155" s="14"/>
      <c r="E155" s="15" t="s">
        <v>51</v>
      </c>
      <c r="F155" s="15" t="s">
        <v>3</v>
      </c>
      <c r="G155" s="15" t="s">
        <v>56</v>
      </c>
      <c r="H155" s="14" t="str">
        <f>G154</f>
        <v>T6</v>
      </c>
      <c r="I155" s="14" t="str">
        <f>G155</f>
        <v>T5</v>
      </c>
    </row>
    <row r="156" spans="1:9" ht="15" customHeight="1" x14ac:dyDescent="0.3">
      <c r="A156" s="13" t="s">
        <v>171</v>
      </c>
      <c r="B156" s="14" t="s">
        <v>15</v>
      </c>
      <c r="C156" s="14" t="s">
        <v>1</v>
      </c>
      <c r="D156" s="14" t="str">
        <f>E156</f>
        <v>G2</v>
      </c>
      <c r="E156" s="23" t="s">
        <v>80</v>
      </c>
      <c r="F156" s="23" t="s">
        <v>3</v>
      </c>
      <c r="G156" s="23" t="s">
        <v>81</v>
      </c>
      <c r="H156" s="14" t="str">
        <f>E157</f>
        <v>T7</v>
      </c>
      <c r="I156" s="14"/>
    </row>
    <row r="157" spans="1:9" ht="15" customHeight="1" x14ac:dyDescent="0.3">
      <c r="A157" s="16" t="s">
        <v>67</v>
      </c>
      <c r="B157" s="14" t="s">
        <v>16</v>
      </c>
      <c r="C157" s="14" t="s">
        <v>1</v>
      </c>
      <c r="D157" s="14"/>
      <c r="E157" s="15" t="s">
        <v>68</v>
      </c>
      <c r="F157" s="15" t="s">
        <v>3</v>
      </c>
      <c r="G157" s="15" t="s">
        <v>49</v>
      </c>
      <c r="H157" s="14" t="str">
        <f>E155</f>
        <v>T3</v>
      </c>
      <c r="I157" s="14"/>
    </row>
    <row r="158" spans="1:9" ht="15" customHeight="1" x14ac:dyDescent="0.3">
      <c r="A158" s="16"/>
      <c r="B158" s="14" t="s">
        <v>17</v>
      </c>
      <c r="C158" s="14" t="s">
        <v>1</v>
      </c>
      <c r="D158" s="14"/>
      <c r="E158" s="23" t="s">
        <v>86</v>
      </c>
      <c r="F158" s="23" t="s">
        <v>3</v>
      </c>
      <c r="G158" s="23" t="s">
        <v>84</v>
      </c>
      <c r="H158" s="14" t="str">
        <f>G157</f>
        <v>T1</v>
      </c>
      <c r="I158" s="14" t="str">
        <f>G158</f>
        <v>G6</v>
      </c>
    </row>
    <row r="159" spans="1:9" ht="15" customHeight="1" x14ac:dyDescent="0.3">
      <c r="A159" s="13"/>
      <c r="B159" s="14" t="s">
        <v>15</v>
      </c>
      <c r="C159" s="14" t="s">
        <v>2</v>
      </c>
      <c r="D159" s="14" t="str">
        <f>E159</f>
        <v>G7</v>
      </c>
      <c r="E159" s="23" t="s">
        <v>85</v>
      </c>
      <c r="F159" s="23" t="s">
        <v>3</v>
      </c>
      <c r="G159" s="23" t="s">
        <v>82</v>
      </c>
      <c r="H159" s="14" t="str">
        <f>E160</f>
        <v>G9</v>
      </c>
      <c r="I159" s="14"/>
    </row>
    <row r="160" spans="1:9" ht="15" customHeight="1" x14ac:dyDescent="0.3">
      <c r="A160" s="13"/>
      <c r="B160" s="14" t="s">
        <v>16</v>
      </c>
      <c r="C160" s="14" t="s">
        <v>2</v>
      </c>
      <c r="D160" s="14"/>
      <c r="E160" s="23" t="s">
        <v>87</v>
      </c>
      <c r="F160" s="23" t="s">
        <v>3</v>
      </c>
      <c r="G160" s="23" t="s">
        <v>79</v>
      </c>
      <c r="H160" s="14" t="str">
        <f>G159</f>
        <v>G4</v>
      </c>
      <c r="I160" s="14"/>
    </row>
    <row r="161" spans="1:9" ht="15" customHeight="1" x14ac:dyDescent="0.3">
      <c r="A161" s="13"/>
      <c r="B161" s="14" t="s">
        <v>17</v>
      </c>
      <c r="C161" s="14" t="s">
        <v>2</v>
      </c>
      <c r="D161" s="14"/>
      <c r="E161" s="23" t="s">
        <v>83</v>
      </c>
      <c r="F161" s="23" t="s">
        <v>3</v>
      </c>
      <c r="G161" s="23" t="s">
        <v>88</v>
      </c>
      <c r="H161" s="14" t="str">
        <f>G160</f>
        <v>G1</v>
      </c>
      <c r="I161" s="14" t="str">
        <f>G161</f>
        <v>G10</v>
      </c>
    </row>
    <row r="162" spans="1:9" ht="15" customHeight="1" x14ac:dyDescent="0.3">
      <c r="A162" s="17"/>
      <c r="B162" s="18"/>
      <c r="C162" s="18"/>
      <c r="D162" s="18"/>
      <c r="E162" s="18"/>
      <c r="F162" s="18"/>
      <c r="G162" s="18"/>
      <c r="H162" s="18"/>
      <c r="I162" s="18"/>
    </row>
    <row r="163" spans="1:9" ht="15" customHeight="1" x14ac:dyDescent="0.3">
      <c r="A163" s="17"/>
      <c r="B163" s="18"/>
      <c r="C163" s="18"/>
      <c r="D163" s="18"/>
      <c r="E163" s="18"/>
      <c r="F163" s="18"/>
      <c r="G163" s="18"/>
      <c r="H163" s="18"/>
      <c r="I163" s="18"/>
    </row>
    <row r="164" spans="1:9" ht="15" customHeight="1" x14ac:dyDescent="0.3">
      <c r="A164" s="9" t="s">
        <v>6</v>
      </c>
      <c r="B164" s="9" t="s">
        <v>7</v>
      </c>
      <c r="C164" s="9" t="s">
        <v>8</v>
      </c>
      <c r="D164" s="9" t="s">
        <v>9</v>
      </c>
      <c r="E164" s="9" t="s">
        <v>10</v>
      </c>
      <c r="F164" s="9"/>
      <c r="G164" s="9" t="s">
        <v>11</v>
      </c>
      <c r="H164" s="9" t="s">
        <v>12</v>
      </c>
      <c r="I164" s="9" t="s">
        <v>13</v>
      </c>
    </row>
    <row r="165" spans="1:9" ht="15" customHeight="1" x14ac:dyDescent="0.3">
      <c r="A165" s="95">
        <f>A154+7</f>
        <v>45987</v>
      </c>
      <c r="B165" s="20"/>
      <c r="C165" s="20"/>
      <c r="D165" s="150" t="s">
        <v>70</v>
      </c>
      <c r="E165" s="151"/>
      <c r="F165" s="151"/>
      <c r="G165" s="151"/>
      <c r="H165" s="151"/>
      <c r="I165" s="152"/>
    </row>
    <row r="166" spans="1:9" ht="15" customHeight="1" x14ac:dyDescent="0.3">
      <c r="A166" s="21"/>
      <c r="B166" s="14" t="s">
        <v>15</v>
      </c>
      <c r="C166" s="14" t="s">
        <v>0</v>
      </c>
      <c r="D166" s="14" t="str">
        <f>E166</f>
        <v>Rank 1</v>
      </c>
      <c r="E166" s="15" t="s">
        <v>72</v>
      </c>
      <c r="F166" s="15" t="s">
        <v>3</v>
      </c>
      <c r="G166" s="15" t="s">
        <v>73</v>
      </c>
      <c r="H166" s="14" t="str">
        <f>E167</f>
        <v>Rank 3</v>
      </c>
      <c r="I166" s="14"/>
    </row>
    <row r="167" spans="1:9" ht="15" customHeight="1" x14ac:dyDescent="0.3">
      <c r="A167" s="21"/>
      <c r="B167" s="14" t="s">
        <v>16</v>
      </c>
      <c r="C167" s="14" t="s">
        <v>0</v>
      </c>
      <c r="D167" s="14"/>
      <c r="E167" s="15" t="s">
        <v>74</v>
      </c>
      <c r="F167" s="15" t="s">
        <v>3</v>
      </c>
      <c r="G167" s="15" t="s">
        <v>75</v>
      </c>
      <c r="H167" s="14" t="str">
        <f>G166</f>
        <v>Rank 2</v>
      </c>
      <c r="I167" s="14" t="str">
        <f>G167</f>
        <v>Rank 4</v>
      </c>
    </row>
    <row r="168" spans="1:9" ht="15" customHeight="1" x14ac:dyDescent="0.3">
      <c r="A168" s="21"/>
      <c r="B168" s="14" t="s">
        <v>15</v>
      </c>
      <c r="C168" s="14" t="s">
        <v>1</v>
      </c>
      <c r="D168" s="14" t="str">
        <f>E168</f>
        <v>Rank 1</v>
      </c>
      <c r="E168" s="23" t="s">
        <v>72</v>
      </c>
      <c r="F168" s="23" t="s">
        <v>3</v>
      </c>
      <c r="G168" s="23" t="s">
        <v>73</v>
      </c>
      <c r="H168" s="14" t="str">
        <f>E169</f>
        <v>Rank 3</v>
      </c>
      <c r="I168" s="14"/>
    </row>
    <row r="169" spans="1:9" ht="15" customHeight="1" x14ac:dyDescent="0.3">
      <c r="A169" s="21"/>
      <c r="B169" s="14" t="s">
        <v>16</v>
      </c>
      <c r="C169" s="14" t="s">
        <v>1</v>
      </c>
      <c r="D169" s="14"/>
      <c r="E169" s="23" t="s">
        <v>74</v>
      </c>
      <c r="F169" s="23" t="s">
        <v>3</v>
      </c>
      <c r="G169" s="23" t="s">
        <v>75</v>
      </c>
      <c r="H169" s="14" t="str">
        <f>G168</f>
        <v>Rank 2</v>
      </c>
      <c r="I169" s="14" t="str">
        <f>G169</f>
        <v>Rank 4</v>
      </c>
    </row>
    <row r="170" spans="1:9" ht="15" customHeight="1" x14ac:dyDescent="0.3">
      <c r="A170" s="17"/>
      <c r="B170" s="18"/>
      <c r="C170" s="18"/>
      <c r="D170" s="18"/>
      <c r="E170" s="18"/>
      <c r="F170" s="18"/>
      <c r="G170" s="18"/>
      <c r="H170" s="18"/>
      <c r="I170" s="18"/>
    </row>
    <row r="171" spans="1:9" ht="15" customHeight="1" x14ac:dyDescent="0.3">
      <c r="A171" s="95">
        <f>A165+7</f>
        <v>45994</v>
      </c>
      <c r="B171" s="20"/>
      <c r="C171" s="20"/>
      <c r="D171" s="150" t="s">
        <v>61</v>
      </c>
      <c r="E171" s="151"/>
      <c r="F171" s="151"/>
      <c r="G171" s="151"/>
      <c r="H171" s="151"/>
      <c r="I171" s="152"/>
    </row>
    <row r="172" spans="1:9" ht="15" customHeight="1" x14ac:dyDescent="0.3">
      <c r="A172" s="21"/>
      <c r="B172" s="14" t="s">
        <v>16</v>
      </c>
      <c r="C172" s="14" t="s">
        <v>1</v>
      </c>
      <c r="D172" s="14" t="str">
        <f>E172</f>
        <v>Loser Rank 1/2</v>
      </c>
      <c r="E172" s="15" t="s">
        <v>76</v>
      </c>
      <c r="F172" s="15" t="s">
        <v>3</v>
      </c>
      <c r="G172" s="15" t="s">
        <v>77</v>
      </c>
      <c r="H172" s="14" t="s">
        <v>59</v>
      </c>
      <c r="I172" s="14" t="str">
        <f>G172</f>
        <v>Winner Rank 3/4</v>
      </c>
    </row>
    <row r="173" spans="1:9" ht="15" customHeight="1" x14ac:dyDescent="0.3">
      <c r="A173" s="21"/>
      <c r="B173" s="14" t="s">
        <v>16</v>
      </c>
      <c r="C173" s="14" t="s">
        <v>1</v>
      </c>
      <c r="D173" s="14" t="str">
        <f>E173</f>
        <v>Loser Rank 1/2</v>
      </c>
      <c r="E173" s="23" t="s">
        <v>76</v>
      </c>
      <c r="F173" s="23" t="s">
        <v>3</v>
      </c>
      <c r="G173" s="23" t="s">
        <v>77</v>
      </c>
      <c r="H173" s="14" t="s">
        <v>59</v>
      </c>
      <c r="I173" s="14" t="str">
        <f>G173</f>
        <v>Winner Rank 3/4</v>
      </c>
    </row>
    <row r="174" spans="1:9" ht="15" customHeight="1" x14ac:dyDescent="0.3">
      <c r="A174" s="17"/>
      <c r="B174" s="18"/>
      <c r="C174" s="18"/>
      <c r="D174" s="18"/>
      <c r="E174" s="18"/>
      <c r="F174" s="18"/>
      <c r="G174" s="18"/>
      <c r="H174" s="18"/>
      <c r="I174" s="18"/>
    </row>
    <row r="175" spans="1:9" ht="15" customHeight="1" x14ac:dyDescent="0.3">
      <c r="A175" s="95">
        <f>A171+7</f>
        <v>46001</v>
      </c>
      <c r="B175" s="20"/>
      <c r="C175" s="20"/>
      <c r="D175" s="150" t="s">
        <v>58</v>
      </c>
      <c r="E175" s="151"/>
      <c r="F175" s="151"/>
      <c r="G175" s="151"/>
      <c r="H175" s="151"/>
      <c r="I175" s="152"/>
    </row>
    <row r="176" spans="1:9" ht="15" customHeight="1" x14ac:dyDescent="0.3">
      <c r="A176" s="21"/>
      <c r="B176" s="14" t="s">
        <v>16</v>
      </c>
      <c r="C176" s="14" t="s">
        <v>0</v>
      </c>
      <c r="D176" s="14" t="str">
        <f>E176</f>
        <v>Winner Rank 1/2</v>
      </c>
      <c r="E176" s="15" t="s">
        <v>78</v>
      </c>
      <c r="F176" s="15" t="s">
        <v>3</v>
      </c>
      <c r="G176" s="15" t="s">
        <v>60</v>
      </c>
      <c r="H176" s="14" t="s">
        <v>62</v>
      </c>
      <c r="I176" s="14" t="str">
        <f>G176</f>
        <v>Winner Major Semi</v>
      </c>
    </row>
    <row r="177" spans="1:10" ht="15" customHeight="1" x14ac:dyDescent="0.3">
      <c r="A177" s="21"/>
      <c r="B177" s="14" t="s">
        <v>16</v>
      </c>
      <c r="C177" s="14" t="s">
        <v>1</v>
      </c>
      <c r="D177" s="14" t="str">
        <f>E177</f>
        <v>Winner Rank 1/2</v>
      </c>
      <c r="E177" s="23" t="s">
        <v>78</v>
      </c>
      <c r="F177" s="23" t="s">
        <v>3</v>
      </c>
      <c r="G177" s="23" t="s">
        <v>60</v>
      </c>
      <c r="H177" s="14" t="s">
        <v>62</v>
      </c>
      <c r="I177" s="14" t="str">
        <f>G177</f>
        <v>Winner Major Semi</v>
      </c>
    </row>
    <row r="178" spans="1:10" ht="15" customHeight="1" x14ac:dyDescent="0.3">
      <c r="B178" s="18"/>
      <c r="C178" s="18"/>
    </row>
    <row r="180" spans="1:10" ht="15" customHeight="1" x14ac:dyDescent="0.3">
      <c r="A180" s="11" t="s">
        <v>89</v>
      </c>
      <c r="B180" s="11" t="s">
        <v>66</v>
      </c>
      <c r="C180" s="19" t="s">
        <v>134</v>
      </c>
      <c r="D180" s="19" t="s">
        <v>63</v>
      </c>
      <c r="E180" s="11" t="s">
        <v>10</v>
      </c>
      <c r="G180" s="11" t="s">
        <v>11</v>
      </c>
      <c r="H180" s="19" t="s">
        <v>64</v>
      </c>
      <c r="I180" s="19" t="s">
        <v>65</v>
      </c>
    </row>
    <row r="181" spans="1:10" ht="15" customHeight="1" x14ac:dyDescent="0.3">
      <c r="A181" s="11">
        <f t="shared" ref="A181:A188" si="0">E181+G181</f>
        <v>13</v>
      </c>
      <c r="B181" s="11">
        <f>D181+H181+I181</f>
        <v>13</v>
      </c>
      <c r="C181" s="19" t="s">
        <v>49</v>
      </c>
      <c r="D181" s="19">
        <f>COUNTIF(D$2:D$161,$C181)</f>
        <v>1</v>
      </c>
      <c r="E181" s="19">
        <f t="shared" ref="E181:I181" si="1">COUNTIF(E$2:E$161,$C181)</f>
        <v>5</v>
      </c>
      <c r="F181" s="19">
        <f t="shared" si="1"/>
        <v>0</v>
      </c>
      <c r="G181" s="19">
        <f t="shared" si="1"/>
        <v>8</v>
      </c>
      <c r="H181" s="19">
        <f t="shared" si="1"/>
        <v>10</v>
      </c>
      <c r="I181" s="19">
        <f t="shared" si="1"/>
        <v>2</v>
      </c>
    </row>
    <row r="182" spans="1:10" ht="15" customHeight="1" x14ac:dyDescent="0.3">
      <c r="A182" s="11">
        <f t="shared" si="0"/>
        <v>14</v>
      </c>
      <c r="B182" s="11">
        <f t="shared" ref="B182:B188" si="2">D182+H182+I182</f>
        <v>14</v>
      </c>
      <c r="C182" s="19" t="s">
        <v>50</v>
      </c>
      <c r="D182" s="19">
        <f t="shared" ref="D182:I189" si="3">COUNTIF(D$2:D$161,$C182)</f>
        <v>3</v>
      </c>
      <c r="E182" s="19">
        <f t="shared" si="3"/>
        <v>8</v>
      </c>
      <c r="F182" s="19">
        <f t="shared" si="3"/>
        <v>0</v>
      </c>
      <c r="G182" s="19">
        <f t="shared" si="3"/>
        <v>6</v>
      </c>
      <c r="H182" s="19">
        <f t="shared" si="3"/>
        <v>11</v>
      </c>
      <c r="I182" s="19">
        <f t="shared" si="3"/>
        <v>0</v>
      </c>
    </row>
    <row r="183" spans="1:10" ht="15" customHeight="1" x14ac:dyDescent="0.3">
      <c r="A183" s="11">
        <f t="shared" si="0"/>
        <v>14</v>
      </c>
      <c r="B183" s="11">
        <f t="shared" si="2"/>
        <v>14</v>
      </c>
      <c r="C183" s="19" t="s">
        <v>51</v>
      </c>
      <c r="D183" s="19">
        <f t="shared" si="3"/>
        <v>0</v>
      </c>
      <c r="E183" s="19">
        <f t="shared" si="3"/>
        <v>8</v>
      </c>
      <c r="F183" s="19">
        <f t="shared" si="3"/>
        <v>0</v>
      </c>
      <c r="G183" s="19">
        <f t="shared" si="3"/>
        <v>6</v>
      </c>
      <c r="H183" s="19">
        <f t="shared" si="3"/>
        <v>11</v>
      </c>
      <c r="I183" s="19">
        <f t="shared" si="3"/>
        <v>3</v>
      </c>
    </row>
    <row r="184" spans="1:10" ht="15" customHeight="1" x14ac:dyDescent="0.3">
      <c r="A184" s="11">
        <f t="shared" si="0"/>
        <v>13</v>
      </c>
      <c r="B184" s="11">
        <f t="shared" si="2"/>
        <v>13</v>
      </c>
      <c r="C184" s="19" t="s">
        <v>52</v>
      </c>
      <c r="D184" s="19">
        <f t="shared" si="3"/>
        <v>2</v>
      </c>
      <c r="E184" s="19">
        <f t="shared" si="3"/>
        <v>8</v>
      </c>
      <c r="F184" s="19">
        <f t="shared" si="3"/>
        <v>0</v>
      </c>
      <c r="G184" s="19">
        <f t="shared" si="3"/>
        <v>5</v>
      </c>
      <c r="H184" s="19">
        <f t="shared" si="3"/>
        <v>9</v>
      </c>
      <c r="I184" s="19">
        <f t="shared" si="3"/>
        <v>2</v>
      </c>
    </row>
    <row r="185" spans="1:10" ht="15" customHeight="1" x14ac:dyDescent="0.3">
      <c r="A185" s="11">
        <f t="shared" si="0"/>
        <v>13</v>
      </c>
      <c r="B185" s="11">
        <f t="shared" si="2"/>
        <v>13</v>
      </c>
      <c r="C185" s="19" t="s">
        <v>56</v>
      </c>
      <c r="D185" s="19">
        <f t="shared" si="3"/>
        <v>0</v>
      </c>
      <c r="E185" s="19">
        <f t="shared" si="3"/>
        <v>5</v>
      </c>
      <c r="F185" s="19">
        <f t="shared" si="3"/>
        <v>0</v>
      </c>
      <c r="G185" s="19">
        <f t="shared" si="3"/>
        <v>8</v>
      </c>
      <c r="H185" s="19">
        <f t="shared" si="3"/>
        <v>9</v>
      </c>
      <c r="I185" s="19">
        <f t="shared" si="3"/>
        <v>4</v>
      </c>
    </row>
    <row r="186" spans="1:10" ht="15" customHeight="1" x14ac:dyDescent="0.3">
      <c r="A186" s="11">
        <f t="shared" si="0"/>
        <v>13</v>
      </c>
      <c r="B186" s="11">
        <f t="shared" si="2"/>
        <v>13</v>
      </c>
      <c r="C186" s="19" t="s">
        <v>57</v>
      </c>
      <c r="D186" s="19">
        <f t="shared" si="3"/>
        <v>1</v>
      </c>
      <c r="E186" s="19">
        <f t="shared" si="3"/>
        <v>6</v>
      </c>
      <c r="F186" s="19">
        <f t="shared" si="3"/>
        <v>0</v>
      </c>
      <c r="G186" s="19">
        <f t="shared" si="3"/>
        <v>7</v>
      </c>
      <c r="H186" s="19">
        <f t="shared" si="3"/>
        <v>9</v>
      </c>
      <c r="I186" s="19">
        <f t="shared" si="3"/>
        <v>3</v>
      </c>
    </row>
    <row r="187" spans="1:10" ht="15" customHeight="1" x14ac:dyDescent="0.3">
      <c r="A187" s="11">
        <f t="shared" si="0"/>
        <v>14</v>
      </c>
      <c r="B187" s="11">
        <f t="shared" si="2"/>
        <v>14</v>
      </c>
      <c r="C187" s="19" t="s">
        <v>68</v>
      </c>
      <c r="D187" s="19">
        <f t="shared" si="3"/>
        <v>2</v>
      </c>
      <c r="E187" s="19">
        <f t="shared" si="3"/>
        <v>7</v>
      </c>
      <c r="F187" s="19">
        <f t="shared" si="3"/>
        <v>0</v>
      </c>
      <c r="G187" s="19">
        <f t="shared" si="3"/>
        <v>7</v>
      </c>
      <c r="H187" s="19">
        <f t="shared" si="3"/>
        <v>11</v>
      </c>
      <c r="I187" s="19">
        <f t="shared" si="3"/>
        <v>1</v>
      </c>
    </row>
    <row r="188" spans="1:10" ht="15" customHeight="1" x14ac:dyDescent="0.3">
      <c r="A188" s="11">
        <f t="shared" si="0"/>
        <v>13</v>
      </c>
      <c r="B188" s="11">
        <f t="shared" si="2"/>
        <v>13</v>
      </c>
      <c r="C188" s="19" t="s">
        <v>67</v>
      </c>
      <c r="D188" s="19">
        <f t="shared" si="3"/>
        <v>3</v>
      </c>
      <c r="E188" s="19">
        <f t="shared" si="3"/>
        <v>6</v>
      </c>
      <c r="F188" s="19">
        <f t="shared" si="3"/>
        <v>0</v>
      </c>
      <c r="G188" s="19">
        <f t="shared" si="3"/>
        <v>7</v>
      </c>
      <c r="H188" s="19">
        <f t="shared" si="3"/>
        <v>10</v>
      </c>
      <c r="I188" s="19">
        <f t="shared" si="3"/>
        <v>0</v>
      </c>
    </row>
    <row r="189" spans="1:10" ht="15" customHeight="1" x14ac:dyDescent="0.3">
      <c r="A189" s="11">
        <f t="shared" ref="A189" si="4">E189+G189</f>
        <v>13</v>
      </c>
      <c r="B189" s="11">
        <f t="shared" ref="B189" si="5">D189+H189+I189</f>
        <v>13</v>
      </c>
      <c r="C189" s="19" t="s">
        <v>172</v>
      </c>
      <c r="D189" s="19">
        <f t="shared" si="3"/>
        <v>3</v>
      </c>
      <c r="E189" s="19">
        <f t="shared" si="3"/>
        <v>7</v>
      </c>
      <c r="F189" s="19">
        <f t="shared" si="3"/>
        <v>0</v>
      </c>
      <c r="G189" s="19">
        <f t="shared" si="3"/>
        <v>6</v>
      </c>
      <c r="H189" s="19">
        <f t="shared" si="3"/>
        <v>10</v>
      </c>
      <c r="I189" s="19">
        <f t="shared" si="3"/>
        <v>0</v>
      </c>
    </row>
    <row r="190" spans="1:10" ht="15" customHeight="1" x14ac:dyDescent="0.3">
      <c r="A190" s="11"/>
      <c r="B190" s="11"/>
      <c r="E190" s="19"/>
      <c r="F190" s="19"/>
      <c r="G190" s="19"/>
    </row>
    <row r="191" spans="1:10" ht="15" customHeight="1" x14ac:dyDescent="0.3">
      <c r="A191" s="11" t="s">
        <v>89</v>
      </c>
      <c r="B191" s="11" t="s">
        <v>66</v>
      </c>
      <c r="C191" s="19" t="s">
        <v>134</v>
      </c>
      <c r="D191" s="19" t="s">
        <v>63</v>
      </c>
      <c r="E191" s="11" t="s">
        <v>10</v>
      </c>
      <c r="G191" s="11" t="s">
        <v>11</v>
      </c>
      <c r="H191" s="19" t="s">
        <v>64</v>
      </c>
      <c r="I191" s="19" t="s">
        <v>65</v>
      </c>
    </row>
    <row r="192" spans="1:10" ht="15" customHeight="1" x14ac:dyDescent="0.3">
      <c r="A192" s="11">
        <f>E192+G192</f>
        <v>14</v>
      </c>
      <c r="B192" s="11">
        <f t="shared" ref="B192:B201" si="6">D192+H192+I192</f>
        <v>10</v>
      </c>
      <c r="C192" s="19" t="s">
        <v>79</v>
      </c>
      <c r="D192" s="19">
        <f t="shared" ref="D192:D201" si="7">COUNTIF(D$2:D$176,C192)</f>
        <v>2</v>
      </c>
      <c r="E192" s="19">
        <f t="shared" ref="E192:E201" si="8">COUNTIF(E$2:E$176,C192)</f>
        <v>8</v>
      </c>
      <c r="F192" s="19"/>
      <c r="G192" s="19">
        <f t="shared" ref="G192:G201" si="9">COUNTIF(G$2:G$176,C192)</f>
        <v>6</v>
      </c>
      <c r="H192" s="19">
        <f t="shared" ref="H192:H201" si="10">COUNTIF(H$2:H$176,C192)</f>
        <v>6</v>
      </c>
      <c r="I192" s="19">
        <f t="shared" ref="I192:I201" si="11">COUNTIF(I$2:I$176,C192)</f>
        <v>2</v>
      </c>
      <c r="J192" s="11" t="s">
        <v>152</v>
      </c>
    </row>
    <row r="193" spans="1:10" ht="15" customHeight="1" x14ac:dyDescent="0.3">
      <c r="A193" s="11">
        <f t="shared" ref="A193:A201" si="12">E193+G193</f>
        <v>15</v>
      </c>
      <c r="B193" s="11">
        <f t="shared" si="6"/>
        <v>10</v>
      </c>
      <c r="C193" s="19" t="s">
        <v>80</v>
      </c>
      <c r="D193" s="19">
        <f t="shared" si="7"/>
        <v>2</v>
      </c>
      <c r="E193" s="19">
        <f t="shared" si="8"/>
        <v>5</v>
      </c>
      <c r="F193" s="19"/>
      <c r="G193" s="19">
        <f t="shared" si="9"/>
        <v>10</v>
      </c>
      <c r="H193" s="19">
        <f t="shared" si="10"/>
        <v>5</v>
      </c>
      <c r="I193" s="19">
        <f t="shared" si="11"/>
        <v>3</v>
      </c>
      <c r="J193" s="11" t="s">
        <v>150</v>
      </c>
    </row>
    <row r="194" spans="1:10" ht="15" customHeight="1" x14ac:dyDescent="0.3">
      <c r="A194" s="11">
        <f t="shared" si="12"/>
        <v>15</v>
      </c>
      <c r="B194" s="11">
        <f t="shared" si="6"/>
        <v>11</v>
      </c>
      <c r="C194" s="19" t="s">
        <v>81</v>
      </c>
      <c r="D194" s="19">
        <f t="shared" si="7"/>
        <v>2</v>
      </c>
      <c r="E194" s="19">
        <f t="shared" si="8"/>
        <v>4</v>
      </c>
      <c r="F194" s="19"/>
      <c r="G194" s="19">
        <f t="shared" si="9"/>
        <v>11</v>
      </c>
      <c r="H194" s="19">
        <f t="shared" si="10"/>
        <v>5</v>
      </c>
      <c r="I194" s="19">
        <f t="shared" si="11"/>
        <v>4</v>
      </c>
      <c r="J194" s="11" t="s">
        <v>173</v>
      </c>
    </row>
    <row r="195" spans="1:10" ht="15" customHeight="1" x14ac:dyDescent="0.3">
      <c r="A195" s="11">
        <f t="shared" si="12"/>
        <v>15</v>
      </c>
      <c r="B195" s="11">
        <f t="shared" si="6"/>
        <v>10</v>
      </c>
      <c r="C195" s="19" t="s">
        <v>82</v>
      </c>
      <c r="D195" s="19">
        <f t="shared" si="7"/>
        <v>3</v>
      </c>
      <c r="E195" s="19">
        <f t="shared" si="8"/>
        <v>8</v>
      </c>
      <c r="F195" s="19"/>
      <c r="G195" s="19">
        <f t="shared" si="9"/>
        <v>7</v>
      </c>
      <c r="H195" s="19">
        <f t="shared" si="10"/>
        <v>5</v>
      </c>
      <c r="I195" s="19">
        <f t="shared" si="11"/>
        <v>2</v>
      </c>
      <c r="J195" s="11" t="s">
        <v>145</v>
      </c>
    </row>
    <row r="196" spans="1:10" ht="15" customHeight="1" x14ac:dyDescent="0.3">
      <c r="A196" s="11">
        <f t="shared" si="12"/>
        <v>15</v>
      </c>
      <c r="B196" s="11">
        <f t="shared" si="6"/>
        <v>11</v>
      </c>
      <c r="C196" s="19" t="s">
        <v>83</v>
      </c>
      <c r="D196" s="19">
        <f t="shared" si="7"/>
        <v>4</v>
      </c>
      <c r="E196" s="19">
        <f t="shared" si="8"/>
        <v>10</v>
      </c>
      <c r="F196" s="19"/>
      <c r="G196" s="19">
        <f t="shared" si="9"/>
        <v>5</v>
      </c>
      <c r="H196" s="19">
        <f t="shared" si="10"/>
        <v>4</v>
      </c>
      <c r="I196" s="19">
        <f t="shared" si="11"/>
        <v>3</v>
      </c>
      <c r="J196" s="11" t="s">
        <v>146</v>
      </c>
    </row>
    <row r="197" spans="1:10" ht="15" customHeight="1" x14ac:dyDescent="0.3">
      <c r="A197" s="11">
        <f t="shared" si="12"/>
        <v>15</v>
      </c>
      <c r="B197" s="11">
        <f t="shared" si="6"/>
        <v>11</v>
      </c>
      <c r="C197" s="19" t="s">
        <v>84</v>
      </c>
      <c r="D197" s="19">
        <f t="shared" si="7"/>
        <v>3</v>
      </c>
      <c r="E197" s="19">
        <f t="shared" si="8"/>
        <v>7</v>
      </c>
      <c r="F197" s="19"/>
      <c r="G197" s="19">
        <f t="shared" si="9"/>
        <v>8</v>
      </c>
      <c r="H197" s="19">
        <f t="shared" si="10"/>
        <v>4</v>
      </c>
      <c r="I197" s="19">
        <f t="shared" si="11"/>
        <v>4</v>
      </c>
      <c r="J197" s="11" t="s">
        <v>148</v>
      </c>
    </row>
    <row r="198" spans="1:10" ht="15" customHeight="1" x14ac:dyDescent="0.3">
      <c r="A198" s="11">
        <f t="shared" si="12"/>
        <v>15</v>
      </c>
      <c r="B198" s="11">
        <f t="shared" si="6"/>
        <v>10</v>
      </c>
      <c r="C198" s="19" t="s">
        <v>85</v>
      </c>
      <c r="D198" s="19">
        <f t="shared" si="7"/>
        <v>4</v>
      </c>
      <c r="E198" s="19">
        <f t="shared" si="8"/>
        <v>9</v>
      </c>
      <c r="F198" s="19"/>
      <c r="G198" s="19">
        <f t="shared" si="9"/>
        <v>6</v>
      </c>
      <c r="H198" s="19">
        <f t="shared" si="10"/>
        <v>5</v>
      </c>
      <c r="I198" s="19">
        <f t="shared" si="11"/>
        <v>1</v>
      </c>
      <c r="J198" s="11" t="s">
        <v>128</v>
      </c>
    </row>
    <row r="199" spans="1:10" ht="15" customHeight="1" x14ac:dyDescent="0.3">
      <c r="A199" s="11">
        <f t="shared" si="12"/>
        <v>15</v>
      </c>
      <c r="B199" s="11">
        <f t="shared" si="6"/>
        <v>11</v>
      </c>
      <c r="C199" s="19" t="s">
        <v>86</v>
      </c>
      <c r="D199" s="19">
        <f t="shared" si="7"/>
        <v>2</v>
      </c>
      <c r="E199" s="19">
        <f t="shared" si="8"/>
        <v>5</v>
      </c>
      <c r="F199" s="19"/>
      <c r="G199" s="19">
        <f t="shared" si="9"/>
        <v>10</v>
      </c>
      <c r="H199" s="19">
        <f t="shared" si="10"/>
        <v>4</v>
      </c>
      <c r="I199" s="19">
        <f t="shared" si="11"/>
        <v>5</v>
      </c>
      <c r="J199" s="11" t="s">
        <v>151</v>
      </c>
    </row>
    <row r="200" spans="1:10" ht="15" customHeight="1" x14ac:dyDescent="0.3">
      <c r="A200" s="11">
        <f t="shared" si="12"/>
        <v>15</v>
      </c>
      <c r="B200" s="11">
        <f t="shared" si="6"/>
        <v>10</v>
      </c>
      <c r="C200" s="19" t="s">
        <v>87</v>
      </c>
      <c r="D200" s="19">
        <f t="shared" si="7"/>
        <v>7</v>
      </c>
      <c r="E200" s="19">
        <f t="shared" si="8"/>
        <v>10</v>
      </c>
      <c r="F200" s="19"/>
      <c r="G200" s="19">
        <f t="shared" si="9"/>
        <v>5</v>
      </c>
      <c r="H200" s="19">
        <f t="shared" si="10"/>
        <v>3</v>
      </c>
      <c r="I200" s="19">
        <f t="shared" si="11"/>
        <v>0</v>
      </c>
      <c r="J200" s="11" t="s">
        <v>130</v>
      </c>
    </row>
    <row r="201" spans="1:10" ht="15" customHeight="1" x14ac:dyDescent="0.3">
      <c r="A201" s="11">
        <f t="shared" si="12"/>
        <v>16</v>
      </c>
      <c r="B201" s="11">
        <f t="shared" si="6"/>
        <v>11</v>
      </c>
      <c r="C201" s="19" t="s">
        <v>88</v>
      </c>
      <c r="D201" s="19">
        <f t="shared" si="7"/>
        <v>1</v>
      </c>
      <c r="E201" s="19">
        <f t="shared" si="8"/>
        <v>9</v>
      </c>
      <c r="F201" s="19"/>
      <c r="G201" s="19">
        <f t="shared" si="9"/>
        <v>7</v>
      </c>
      <c r="H201" s="19">
        <f t="shared" si="10"/>
        <v>4</v>
      </c>
      <c r="I201" s="19">
        <f t="shared" si="11"/>
        <v>6</v>
      </c>
      <c r="J201" s="11" t="s">
        <v>5</v>
      </c>
    </row>
  </sheetData>
  <mergeCells count="5">
    <mergeCell ref="D86:I86"/>
    <mergeCell ref="D165:I165"/>
    <mergeCell ref="D171:I171"/>
    <mergeCell ref="D175:I175"/>
    <mergeCell ref="D87:I87"/>
  </mergeCells>
  <phoneticPr fontId="2" type="noConversion"/>
  <pageMargins left="0.43307086614173229" right="0.23622047244094491" top="0.74803149606299213" bottom="0.74803149606299213" header="0.31496062992125984" footer="0.31496062992125984"/>
  <pageSetup paperSize="9" orientation="landscape" r:id="rId1"/>
  <headerFooter>
    <oddHeader>&amp;C&amp;A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B099C-E664-4CF5-A05C-EDA9A35F6522}">
  <sheetPr codeName="Sheet9"/>
  <dimension ref="A1:P55"/>
  <sheetViews>
    <sheetView workbookViewId="0">
      <selection activeCell="O50" sqref="O49:O50"/>
    </sheetView>
  </sheetViews>
  <sheetFormatPr defaultColWidth="8.6640625" defaultRowHeight="21.6" customHeight="1" x14ac:dyDescent="0.3"/>
  <cols>
    <col min="1" max="1" width="10.33203125" style="52" customWidth="1"/>
    <col min="2" max="2" width="12" style="52" customWidth="1"/>
    <col min="3" max="4" width="7.6640625" style="52" customWidth="1"/>
    <col min="5" max="5" width="19.44140625" style="52" customWidth="1"/>
    <col min="6" max="6" width="19.33203125" style="52" customWidth="1"/>
    <col min="7" max="7" width="4.33203125" style="52" customWidth="1"/>
    <col min="8" max="10" width="19.33203125" style="52" customWidth="1"/>
    <col min="11" max="12" width="8.6640625" style="52"/>
    <col min="13" max="13" width="8.33203125" style="52" customWidth="1"/>
    <col min="14" max="16384" width="8.6640625" style="52"/>
  </cols>
  <sheetData>
    <row r="1" spans="1:16" ht="21.6" customHeight="1" x14ac:dyDescent="0.3">
      <c r="A1" s="43" t="s">
        <v>92</v>
      </c>
      <c r="B1" s="44" t="s">
        <v>6</v>
      </c>
      <c r="C1" s="45" t="s">
        <v>7</v>
      </c>
      <c r="D1" s="43" t="s">
        <v>8</v>
      </c>
      <c r="E1" s="43" t="s">
        <v>91</v>
      </c>
      <c r="F1" s="43" t="s">
        <v>10</v>
      </c>
      <c r="G1" s="43"/>
      <c r="H1" s="43" t="s">
        <v>11</v>
      </c>
      <c r="I1" s="43" t="s">
        <v>90</v>
      </c>
      <c r="J1" s="43" t="s">
        <v>99</v>
      </c>
    </row>
    <row r="2" spans="1:16" ht="21.6" customHeight="1" x14ac:dyDescent="0.25">
      <c r="A2" s="47" t="s">
        <v>14</v>
      </c>
      <c r="B2" s="48">
        <v>45336</v>
      </c>
      <c r="C2" s="49" t="s">
        <v>15</v>
      </c>
      <c r="D2" s="48" t="s">
        <v>2</v>
      </c>
      <c r="E2" s="48" t="str">
        <f>F2</f>
        <v>T6</v>
      </c>
      <c r="F2" s="48" t="s">
        <v>57</v>
      </c>
      <c r="G2" s="48" t="s">
        <v>3</v>
      </c>
      <c r="H2" s="48" t="s">
        <v>49</v>
      </c>
      <c r="I2" s="48" t="str">
        <f>F3</f>
        <v>T3</v>
      </c>
      <c r="J2" s="48"/>
      <c r="O2" s="47" t="s">
        <v>49</v>
      </c>
      <c r="P2" s="46" t="s">
        <v>49</v>
      </c>
    </row>
    <row r="3" spans="1:16" ht="21.6" customHeight="1" x14ac:dyDescent="0.25">
      <c r="A3" s="47"/>
      <c r="B3" s="48">
        <f>B2</f>
        <v>45336</v>
      </c>
      <c r="C3" s="49" t="s">
        <v>16</v>
      </c>
      <c r="D3" s="48" t="s">
        <v>2</v>
      </c>
      <c r="E3" s="48"/>
      <c r="F3" s="48" t="s">
        <v>51</v>
      </c>
      <c r="G3" s="48" t="s">
        <v>3</v>
      </c>
      <c r="H3" s="48" t="s">
        <v>52</v>
      </c>
      <c r="I3" s="48" t="str">
        <f>H2</f>
        <v>T1</v>
      </c>
      <c r="J3" s="48"/>
      <c r="O3" s="47" t="s">
        <v>50</v>
      </c>
      <c r="P3" s="46" t="s">
        <v>50</v>
      </c>
    </row>
    <row r="4" spans="1:16" ht="21.6" customHeight="1" x14ac:dyDescent="0.25">
      <c r="A4" s="47"/>
      <c r="B4" s="48">
        <f>B3</f>
        <v>45336</v>
      </c>
      <c r="C4" s="49" t="s">
        <v>17</v>
      </c>
      <c r="D4" s="48" t="s">
        <v>2</v>
      </c>
      <c r="E4" s="48"/>
      <c r="F4" s="48" t="s">
        <v>56</v>
      </c>
      <c r="G4" s="48" t="s">
        <v>3</v>
      </c>
      <c r="H4" s="48" t="s">
        <v>50</v>
      </c>
      <c r="I4" s="48" t="str">
        <f>H3</f>
        <v>T4</v>
      </c>
      <c r="J4" s="48" t="str">
        <f>F4</f>
        <v>T5</v>
      </c>
      <c r="O4" s="47" t="s">
        <v>51</v>
      </c>
      <c r="P4" s="46" t="s">
        <v>51</v>
      </c>
    </row>
    <row r="5" spans="1:16" ht="21.6" customHeight="1" x14ac:dyDescent="0.25">
      <c r="A5" s="79" t="s">
        <v>18</v>
      </c>
      <c r="B5" s="78">
        <f>B2+7</f>
        <v>45343</v>
      </c>
      <c r="C5" s="77" t="s">
        <v>15</v>
      </c>
      <c r="D5" s="77" t="s">
        <v>2</v>
      </c>
      <c r="E5" s="77" t="str">
        <f>F5</f>
        <v>T4</v>
      </c>
      <c r="F5" s="77" t="s">
        <v>52</v>
      </c>
      <c r="G5" s="77" t="s">
        <v>3</v>
      </c>
      <c r="H5" s="77" t="s">
        <v>57</v>
      </c>
      <c r="I5" s="77" t="str">
        <f>F6</f>
        <v>T2</v>
      </c>
      <c r="J5" s="77"/>
      <c r="O5" s="47" t="s">
        <v>52</v>
      </c>
      <c r="P5" s="46" t="s">
        <v>52</v>
      </c>
    </row>
    <row r="6" spans="1:16" ht="21.6" customHeight="1" x14ac:dyDescent="0.25">
      <c r="A6" s="79"/>
      <c r="B6" s="78">
        <f>B5</f>
        <v>45343</v>
      </c>
      <c r="C6" s="77" t="s">
        <v>16</v>
      </c>
      <c r="D6" s="77" t="s">
        <v>2</v>
      </c>
      <c r="E6" s="77"/>
      <c r="F6" s="77" t="s">
        <v>50</v>
      </c>
      <c r="G6" s="77" t="s">
        <v>3</v>
      </c>
      <c r="H6" s="77" t="s">
        <v>49</v>
      </c>
      <c r="I6" s="77" t="str">
        <f>H5</f>
        <v>T6</v>
      </c>
      <c r="J6" s="77"/>
      <c r="O6" s="47" t="s">
        <v>56</v>
      </c>
      <c r="P6" s="46" t="s">
        <v>56</v>
      </c>
    </row>
    <row r="7" spans="1:16" ht="21.6" customHeight="1" x14ac:dyDescent="0.25">
      <c r="A7" s="79"/>
      <c r="B7" s="78">
        <f>B6</f>
        <v>45343</v>
      </c>
      <c r="C7" s="77" t="s">
        <v>17</v>
      </c>
      <c r="D7" s="77" t="s">
        <v>2</v>
      </c>
      <c r="E7" s="77"/>
      <c r="F7" s="77" t="s">
        <v>51</v>
      </c>
      <c r="G7" s="77" t="s">
        <v>3</v>
      </c>
      <c r="H7" s="77" t="s">
        <v>56</v>
      </c>
      <c r="I7" s="77" t="str">
        <f>H6</f>
        <v>T1</v>
      </c>
      <c r="J7" s="77" t="str">
        <f>F7</f>
        <v>T3</v>
      </c>
      <c r="O7" s="47" t="s">
        <v>57</v>
      </c>
      <c r="P7" s="46" t="s">
        <v>57</v>
      </c>
    </row>
    <row r="8" spans="1:16" ht="21.6" customHeight="1" x14ac:dyDescent="0.25">
      <c r="A8" s="47" t="s">
        <v>19</v>
      </c>
      <c r="B8" s="48">
        <f>B5+7</f>
        <v>45350</v>
      </c>
      <c r="C8" s="49" t="s">
        <v>15</v>
      </c>
      <c r="D8" s="48" t="s">
        <v>2</v>
      </c>
      <c r="E8" s="48" t="str">
        <f>F8</f>
        <v>T6</v>
      </c>
      <c r="F8" s="48" t="s">
        <v>57</v>
      </c>
      <c r="G8" s="48" t="s">
        <v>3</v>
      </c>
      <c r="H8" s="48" t="s">
        <v>50</v>
      </c>
      <c r="I8" s="48" t="str">
        <f>F9</f>
        <v>T4</v>
      </c>
      <c r="J8" s="48"/>
      <c r="O8" s="47" t="s">
        <v>68</v>
      </c>
      <c r="P8" s="46" t="s">
        <v>68</v>
      </c>
    </row>
    <row r="9" spans="1:16" ht="21.6" customHeight="1" x14ac:dyDescent="0.3">
      <c r="A9" s="47"/>
      <c r="B9" s="48">
        <f>B8</f>
        <v>45350</v>
      </c>
      <c r="C9" s="49" t="s">
        <v>16</v>
      </c>
      <c r="D9" s="48" t="s">
        <v>2</v>
      </c>
      <c r="E9" s="48"/>
      <c r="F9" s="48" t="s">
        <v>52</v>
      </c>
      <c r="G9" s="48" t="s">
        <v>3</v>
      </c>
      <c r="H9" s="48" t="s">
        <v>56</v>
      </c>
      <c r="I9" s="48" t="str">
        <f>H8</f>
        <v>T2</v>
      </c>
      <c r="J9" s="48"/>
    </row>
    <row r="10" spans="1:16" ht="21.6" customHeight="1" x14ac:dyDescent="0.3">
      <c r="A10" s="47"/>
      <c r="B10" s="48">
        <f>B9</f>
        <v>45350</v>
      </c>
      <c r="C10" s="49" t="s">
        <v>17</v>
      </c>
      <c r="D10" s="48" t="s">
        <v>2</v>
      </c>
      <c r="E10" s="48"/>
      <c r="F10" s="48" t="s">
        <v>49</v>
      </c>
      <c r="G10" s="48" t="s">
        <v>3</v>
      </c>
      <c r="H10" s="48" t="s">
        <v>51</v>
      </c>
      <c r="I10" s="48" t="str">
        <f>H9</f>
        <v>T5</v>
      </c>
      <c r="J10" s="48" t="str">
        <f>H10</f>
        <v>T3</v>
      </c>
    </row>
    <row r="11" spans="1:16" ht="21.6" customHeight="1" x14ac:dyDescent="0.3">
      <c r="A11" s="79" t="s">
        <v>20</v>
      </c>
      <c r="B11" s="78">
        <f>B8+7</f>
        <v>45357</v>
      </c>
      <c r="C11" s="77" t="s">
        <v>15</v>
      </c>
      <c r="D11" s="77" t="s">
        <v>2</v>
      </c>
      <c r="E11" s="77" t="str">
        <f>F11</f>
        <v>T5</v>
      </c>
      <c r="F11" s="77" t="s">
        <v>56</v>
      </c>
      <c r="G11" s="77" t="s">
        <v>3</v>
      </c>
      <c r="H11" s="77" t="s">
        <v>57</v>
      </c>
      <c r="I11" s="77" t="str">
        <f>F12</f>
        <v>T3</v>
      </c>
      <c r="J11" s="77"/>
    </row>
    <row r="12" spans="1:16" ht="21.6" customHeight="1" x14ac:dyDescent="0.3">
      <c r="A12" s="79"/>
      <c r="B12" s="78">
        <f>B11</f>
        <v>45357</v>
      </c>
      <c r="C12" s="77" t="s">
        <v>16</v>
      </c>
      <c r="D12" s="77" t="s">
        <v>2</v>
      </c>
      <c r="E12" s="77"/>
      <c r="F12" s="77" t="s">
        <v>51</v>
      </c>
      <c r="G12" s="77" t="s">
        <v>3</v>
      </c>
      <c r="H12" s="77" t="s">
        <v>50</v>
      </c>
      <c r="I12" s="77" t="str">
        <f>H11</f>
        <v>T6</v>
      </c>
      <c r="J12" s="77"/>
    </row>
    <row r="13" spans="1:16" ht="21.6" customHeight="1" x14ac:dyDescent="0.3">
      <c r="A13" s="79"/>
      <c r="B13" s="78">
        <f>B12</f>
        <v>45357</v>
      </c>
      <c r="C13" s="77" t="s">
        <v>17</v>
      </c>
      <c r="D13" s="77" t="s">
        <v>2</v>
      </c>
      <c r="E13" s="77"/>
      <c r="F13" s="77" t="s">
        <v>49</v>
      </c>
      <c r="G13" s="77" t="s">
        <v>3</v>
      </c>
      <c r="H13" s="77" t="s">
        <v>52</v>
      </c>
      <c r="I13" s="77" t="str">
        <f>H12</f>
        <v>T2</v>
      </c>
      <c r="J13" s="77" t="str">
        <f>H13</f>
        <v>T4</v>
      </c>
    </row>
    <row r="14" spans="1:16" ht="21.6" customHeight="1" x14ac:dyDescent="0.3">
      <c r="A14" s="47" t="s">
        <v>21</v>
      </c>
      <c r="B14" s="48">
        <f>B11+7</f>
        <v>45364</v>
      </c>
      <c r="C14" s="49" t="s">
        <v>15</v>
      </c>
      <c r="D14" s="48" t="s">
        <v>2</v>
      </c>
      <c r="E14" s="48" t="str">
        <f>H14</f>
        <v>T3</v>
      </c>
      <c r="F14" s="48" t="s">
        <v>57</v>
      </c>
      <c r="G14" s="48" t="s">
        <v>3</v>
      </c>
      <c r="H14" s="48" t="s">
        <v>51</v>
      </c>
      <c r="I14" s="48" t="str">
        <f>F15</f>
        <v>T5</v>
      </c>
      <c r="J14" s="48"/>
    </row>
    <row r="15" spans="1:16" ht="21.6" customHeight="1" x14ac:dyDescent="0.25">
      <c r="A15" s="47"/>
      <c r="B15" s="48">
        <f>B14</f>
        <v>45364</v>
      </c>
      <c r="C15" s="49" t="s">
        <v>16</v>
      </c>
      <c r="D15" s="48" t="s">
        <v>2</v>
      </c>
      <c r="E15" s="48"/>
      <c r="F15" s="48" t="s">
        <v>56</v>
      </c>
      <c r="G15" s="48" t="s">
        <v>3</v>
      </c>
      <c r="H15" s="48" t="s">
        <v>49</v>
      </c>
      <c r="I15" s="48" t="str">
        <f>F16</f>
        <v>T2</v>
      </c>
      <c r="J15" s="48"/>
      <c r="L15" s="51"/>
      <c r="M15" s="51"/>
    </row>
    <row r="16" spans="1:16" ht="21.6" customHeight="1" x14ac:dyDescent="0.25">
      <c r="A16" s="47"/>
      <c r="B16" s="48">
        <f>B15</f>
        <v>45364</v>
      </c>
      <c r="C16" s="49" t="s">
        <v>17</v>
      </c>
      <c r="D16" s="48" t="s">
        <v>2</v>
      </c>
      <c r="E16" s="48"/>
      <c r="F16" s="48" t="s">
        <v>50</v>
      </c>
      <c r="G16" s="48" t="s">
        <v>3</v>
      </c>
      <c r="H16" s="48" t="s">
        <v>52</v>
      </c>
      <c r="I16" s="48" t="str">
        <f>H15</f>
        <v>T1</v>
      </c>
      <c r="J16" s="48" t="str">
        <f>H16</f>
        <v>T4</v>
      </c>
      <c r="L16" s="51"/>
      <c r="M16" s="51"/>
    </row>
    <row r="17" spans="1:13" ht="21.6" customHeight="1" x14ac:dyDescent="0.3">
      <c r="A17" s="79" t="s">
        <v>22</v>
      </c>
      <c r="B17" s="78">
        <f>B14+7</f>
        <v>45371</v>
      </c>
      <c r="C17" s="77" t="s">
        <v>15</v>
      </c>
      <c r="D17" s="77" t="s">
        <v>2</v>
      </c>
      <c r="E17" s="77" t="str">
        <f>F17</f>
        <v>T2</v>
      </c>
      <c r="F17" s="77" t="s">
        <v>50</v>
      </c>
      <c r="G17" s="77" t="s">
        <v>3</v>
      </c>
      <c r="H17" s="77" t="s">
        <v>56</v>
      </c>
      <c r="I17" s="77" t="str">
        <f>F18</f>
        <v>T1</v>
      </c>
      <c r="J17" s="77"/>
    </row>
    <row r="18" spans="1:13" ht="21.6" customHeight="1" x14ac:dyDescent="0.3">
      <c r="A18" s="79"/>
      <c r="B18" s="78">
        <f>B17</f>
        <v>45371</v>
      </c>
      <c r="C18" s="77" t="s">
        <v>16</v>
      </c>
      <c r="D18" s="77" t="s">
        <v>2</v>
      </c>
      <c r="E18" s="77"/>
      <c r="F18" s="77" t="s">
        <v>49</v>
      </c>
      <c r="G18" s="77" t="s">
        <v>3</v>
      </c>
      <c r="H18" s="77" t="s">
        <v>57</v>
      </c>
      <c r="I18" s="77" t="str">
        <f>H17</f>
        <v>T5</v>
      </c>
      <c r="J18" s="77"/>
    </row>
    <row r="19" spans="1:13" ht="21.6" customHeight="1" x14ac:dyDescent="0.3">
      <c r="A19" s="79"/>
      <c r="B19" s="78">
        <f>B18</f>
        <v>45371</v>
      </c>
      <c r="C19" s="77" t="s">
        <v>17</v>
      </c>
      <c r="D19" s="77" t="s">
        <v>2</v>
      </c>
      <c r="E19" s="77"/>
      <c r="F19" s="77" t="s">
        <v>52</v>
      </c>
      <c r="G19" s="77" t="s">
        <v>3</v>
      </c>
      <c r="H19" s="77" t="s">
        <v>51</v>
      </c>
      <c r="I19" s="77" t="str">
        <f>H18</f>
        <v>T6</v>
      </c>
      <c r="J19" s="77" t="str">
        <f>H19</f>
        <v>T3</v>
      </c>
    </row>
    <row r="20" spans="1:13" ht="21.6" customHeight="1" x14ac:dyDescent="0.3">
      <c r="A20" s="47" t="s">
        <v>23</v>
      </c>
      <c r="B20" s="48">
        <f>B17+7</f>
        <v>45378</v>
      </c>
      <c r="C20" s="49" t="s">
        <v>15</v>
      </c>
      <c r="D20" s="48" t="s">
        <v>2</v>
      </c>
      <c r="E20" s="48" t="str">
        <f>F20</f>
        <v>T1</v>
      </c>
      <c r="F20" s="48" t="s">
        <v>49</v>
      </c>
      <c r="G20" s="48" t="s">
        <v>3</v>
      </c>
      <c r="H20" s="48" t="s">
        <v>50</v>
      </c>
      <c r="I20" s="48" t="str">
        <f>F21</f>
        <v>T5</v>
      </c>
      <c r="J20" s="48"/>
    </row>
    <row r="21" spans="1:13" ht="21.6" customHeight="1" x14ac:dyDescent="0.3">
      <c r="A21" s="47"/>
      <c r="B21" s="48">
        <f>B20</f>
        <v>45378</v>
      </c>
      <c r="C21" s="49" t="s">
        <v>16</v>
      </c>
      <c r="D21" s="48" t="s">
        <v>2</v>
      </c>
      <c r="E21" s="48"/>
      <c r="F21" s="48" t="s">
        <v>56</v>
      </c>
      <c r="G21" s="48" t="s">
        <v>3</v>
      </c>
      <c r="H21" s="48" t="s">
        <v>51</v>
      </c>
      <c r="I21" s="48" t="str">
        <f>H20</f>
        <v>T2</v>
      </c>
      <c r="J21" s="48"/>
    </row>
    <row r="22" spans="1:13" ht="21.6" customHeight="1" x14ac:dyDescent="0.3">
      <c r="A22" s="47"/>
      <c r="B22" s="48">
        <f>B21</f>
        <v>45378</v>
      </c>
      <c r="C22" s="49" t="s">
        <v>17</v>
      </c>
      <c r="D22" s="48" t="s">
        <v>2</v>
      </c>
      <c r="E22" s="48"/>
      <c r="F22" s="48" t="s">
        <v>57</v>
      </c>
      <c r="G22" s="48" t="s">
        <v>3</v>
      </c>
      <c r="H22" s="48" t="s">
        <v>52</v>
      </c>
      <c r="I22" s="48" t="str">
        <f>H21</f>
        <v>T3</v>
      </c>
      <c r="J22" s="48" t="str">
        <f>F22</f>
        <v>T6</v>
      </c>
    </row>
    <row r="23" spans="1:13" ht="21.6" customHeight="1" x14ac:dyDescent="0.3">
      <c r="A23" s="79" t="s">
        <v>24</v>
      </c>
      <c r="B23" s="78">
        <v>45399</v>
      </c>
      <c r="C23" s="77" t="s">
        <v>15</v>
      </c>
      <c r="D23" s="77" t="s">
        <v>2</v>
      </c>
      <c r="E23" s="77" t="str">
        <f>F23</f>
        <v>T5</v>
      </c>
      <c r="F23" s="77" t="s">
        <v>56</v>
      </c>
      <c r="G23" s="77" t="s">
        <v>3</v>
      </c>
      <c r="H23" s="77" t="s">
        <v>52</v>
      </c>
      <c r="I23" s="77" t="str">
        <f>F24</f>
        <v>T3</v>
      </c>
      <c r="J23" s="77"/>
    </row>
    <row r="24" spans="1:13" ht="21.6" customHeight="1" x14ac:dyDescent="0.3">
      <c r="A24" s="79"/>
      <c r="B24" s="78">
        <f>B23</f>
        <v>45399</v>
      </c>
      <c r="C24" s="77" t="s">
        <v>16</v>
      </c>
      <c r="D24" s="77" t="s">
        <v>2</v>
      </c>
      <c r="E24" s="77"/>
      <c r="F24" s="77" t="s">
        <v>51</v>
      </c>
      <c r="G24" s="77" t="s">
        <v>3</v>
      </c>
      <c r="H24" s="77" t="s">
        <v>49</v>
      </c>
      <c r="I24" s="77" t="str">
        <f>H23</f>
        <v>T4</v>
      </c>
      <c r="J24" s="77"/>
    </row>
    <row r="25" spans="1:13" ht="21.6" customHeight="1" x14ac:dyDescent="0.3">
      <c r="A25" s="79"/>
      <c r="B25" s="78">
        <f>B24</f>
        <v>45399</v>
      </c>
      <c r="C25" s="77" t="s">
        <v>17</v>
      </c>
      <c r="D25" s="77" t="s">
        <v>2</v>
      </c>
      <c r="E25" s="77"/>
      <c r="F25" s="77" t="s">
        <v>50</v>
      </c>
      <c r="G25" s="77" t="s">
        <v>3</v>
      </c>
      <c r="H25" s="77" t="s">
        <v>57</v>
      </c>
      <c r="I25" s="77" t="str">
        <f>H24</f>
        <v>T1</v>
      </c>
      <c r="J25" s="77" t="str">
        <f>F25</f>
        <v>T2</v>
      </c>
      <c r="M25" s="50"/>
    </row>
    <row r="26" spans="1:13" ht="21.6" customHeight="1" x14ac:dyDescent="0.3">
      <c r="A26" s="47" t="s">
        <v>26</v>
      </c>
      <c r="B26" s="48">
        <f>B23+7</f>
        <v>45406</v>
      </c>
      <c r="C26" s="47" t="s">
        <v>15</v>
      </c>
      <c r="D26" s="48" t="s">
        <v>2</v>
      </c>
      <c r="E26" s="49" t="str">
        <f>F26</f>
        <v>T2</v>
      </c>
      <c r="F26" s="48" t="s">
        <v>50</v>
      </c>
      <c r="G26" s="48" t="s">
        <v>3</v>
      </c>
      <c r="H26" s="48" t="s">
        <v>51</v>
      </c>
      <c r="I26" s="48" t="str">
        <f>F27</f>
        <v>T4</v>
      </c>
      <c r="J26" s="48"/>
      <c r="M26" s="50"/>
    </row>
    <row r="27" spans="1:13" ht="21.6" customHeight="1" x14ac:dyDescent="0.3">
      <c r="A27" s="47"/>
      <c r="B27" s="48">
        <f>B26</f>
        <v>45406</v>
      </c>
      <c r="C27" s="47" t="s">
        <v>16</v>
      </c>
      <c r="D27" s="48" t="s">
        <v>2</v>
      </c>
      <c r="E27" s="49"/>
      <c r="F27" s="48" t="s">
        <v>52</v>
      </c>
      <c r="G27" s="48" t="s">
        <v>3</v>
      </c>
      <c r="H27" s="48" t="s">
        <v>49</v>
      </c>
      <c r="I27" s="48" t="str">
        <f>H26</f>
        <v>T3</v>
      </c>
      <c r="J27" s="48"/>
      <c r="M27" s="50"/>
    </row>
    <row r="28" spans="1:13" ht="21.6" customHeight="1" x14ac:dyDescent="0.3">
      <c r="A28" s="47"/>
      <c r="B28" s="48">
        <f>B27</f>
        <v>45406</v>
      </c>
      <c r="C28" s="47" t="s">
        <v>17</v>
      </c>
      <c r="D28" s="48" t="s">
        <v>2</v>
      </c>
      <c r="E28" s="49"/>
      <c r="F28" s="48" t="s">
        <v>57</v>
      </c>
      <c r="G28" s="48" t="s">
        <v>3</v>
      </c>
      <c r="H28" s="48" t="s">
        <v>56</v>
      </c>
      <c r="I28" s="48" t="str">
        <f>H27</f>
        <v>T1</v>
      </c>
      <c r="J28" s="48" t="str">
        <f>F28</f>
        <v>T6</v>
      </c>
    </row>
    <row r="29" spans="1:13" ht="21.6" customHeight="1" x14ac:dyDescent="0.3">
      <c r="A29" s="79" t="s">
        <v>27</v>
      </c>
      <c r="B29" s="78">
        <f>B26+7</f>
        <v>45413</v>
      </c>
      <c r="C29" s="77" t="s">
        <v>15</v>
      </c>
      <c r="D29" s="77" t="s">
        <v>2</v>
      </c>
      <c r="E29" s="77" t="str">
        <f>F29</f>
        <v>T1</v>
      </c>
      <c r="F29" s="77" t="s">
        <v>49</v>
      </c>
      <c r="G29" s="77" t="s">
        <v>3</v>
      </c>
      <c r="H29" s="77" t="s">
        <v>56</v>
      </c>
      <c r="I29" s="77" t="str">
        <f>F30</f>
        <v>T4</v>
      </c>
      <c r="J29" s="77"/>
    </row>
    <row r="30" spans="1:13" ht="21.6" customHeight="1" x14ac:dyDescent="0.3">
      <c r="A30" s="79"/>
      <c r="B30" s="78">
        <f>B29</f>
        <v>45413</v>
      </c>
      <c r="C30" s="77" t="s">
        <v>16</v>
      </c>
      <c r="D30" s="77" t="s">
        <v>2</v>
      </c>
      <c r="E30" s="77"/>
      <c r="F30" s="77" t="s">
        <v>52</v>
      </c>
      <c r="G30" s="77" t="s">
        <v>3</v>
      </c>
      <c r="H30" s="77" t="s">
        <v>50</v>
      </c>
      <c r="I30" s="77" t="str">
        <f>H29</f>
        <v>T5</v>
      </c>
      <c r="J30" s="77"/>
    </row>
    <row r="31" spans="1:13" ht="21.6" customHeight="1" x14ac:dyDescent="0.3">
      <c r="A31" s="79"/>
      <c r="B31" s="78">
        <f>B30</f>
        <v>45413</v>
      </c>
      <c r="C31" s="77" t="s">
        <v>17</v>
      </c>
      <c r="D31" s="77" t="s">
        <v>2</v>
      </c>
      <c r="E31" s="77"/>
      <c r="F31" s="77" t="s">
        <v>51</v>
      </c>
      <c r="G31" s="77" t="s">
        <v>3</v>
      </c>
      <c r="H31" s="77" t="s">
        <v>57</v>
      </c>
      <c r="I31" s="77" t="str">
        <f>H30</f>
        <v>T2</v>
      </c>
      <c r="J31" s="77" t="str">
        <f>H31</f>
        <v>T6</v>
      </c>
    </row>
    <row r="32" spans="1:13" ht="21.6" customHeight="1" x14ac:dyDescent="0.3">
      <c r="A32" s="47" t="s">
        <v>28</v>
      </c>
      <c r="B32" s="48">
        <f>B29+7</f>
        <v>45420</v>
      </c>
      <c r="C32" s="47" t="s">
        <v>15</v>
      </c>
      <c r="D32" s="48" t="s">
        <v>2</v>
      </c>
      <c r="E32" s="49" t="str">
        <f>F32</f>
        <v>T5</v>
      </c>
      <c r="F32" s="48" t="s">
        <v>56</v>
      </c>
      <c r="G32" s="48" t="s">
        <v>3</v>
      </c>
      <c r="H32" s="48" t="s">
        <v>50</v>
      </c>
      <c r="I32" s="48" t="str">
        <f>F33</f>
        <v>T6</v>
      </c>
      <c r="J32" s="48"/>
    </row>
    <row r="33" spans="1:14" ht="21.6" customHeight="1" x14ac:dyDescent="0.25">
      <c r="A33" s="47"/>
      <c r="B33" s="48">
        <f>B32</f>
        <v>45420</v>
      </c>
      <c r="C33" s="47" t="s">
        <v>16</v>
      </c>
      <c r="D33" s="48" t="s">
        <v>2</v>
      </c>
      <c r="E33" s="49"/>
      <c r="F33" s="48" t="s">
        <v>57</v>
      </c>
      <c r="G33" s="48" t="s">
        <v>3</v>
      </c>
      <c r="H33" s="48" t="s">
        <v>49</v>
      </c>
      <c r="I33" s="48" t="str">
        <f>H32</f>
        <v>T2</v>
      </c>
      <c r="J33" s="48"/>
      <c r="L33" s="46"/>
      <c r="M33" s="46"/>
    </row>
    <row r="34" spans="1:14" ht="21.6" customHeight="1" x14ac:dyDescent="0.25">
      <c r="A34" s="47"/>
      <c r="B34" s="48">
        <f>B33</f>
        <v>45420</v>
      </c>
      <c r="C34" s="47" t="s">
        <v>17</v>
      </c>
      <c r="D34" s="48" t="s">
        <v>2</v>
      </c>
      <c r="E34" s="49"/>
      <c r="F34" s="48" t="s">
        <v>51</v>
      </c>
      <c r="G34" s="48" t="s">
        <v>3</v>
      </c>
      <c r="H34" s="48" t="s">
        <v>52</v>
      </c>
      <c r="I34" s="48" t="str">
        <f>H33</f>
        <v>T1</v>
      </c>
      <c r="J34" s="48" t="str">
        <f>H34</f>
        <v>T4</v>
      </c>
      <c r="L34" s="46"/>
      <c r="M34" s="46"/>
    </row>
    <row r="35" spans="1:14" ht="21.6" customHeight="1" x14ac:dyDescent="0.25">
      <c r="A35" s="79" t="s">
        <v>29</v>
      </c>
      <c r="B35" s="78">
        <f>B32+7</f>
        <v>45427</v>
      </c>
      <c r="C35" s="77" t="s">
        <v>15</v>
      </c>
      <c r="D35" s="77" t="s">
        <v>2</v>
      </c>
      <c r="E35" s="77" t="str">
        <f>F35</f>
        <v>T3</v>
      </c>
      <c r="F35" s="77" t="s">
        <v>51</v>
      </c>
      <c r="G35" s="77" t="s">
        <v>3</v>
      </c>
      <c r="H35" s="77" t="s">
        <v>56</v>
      </c>
      <c r="I35" s="77" t="str">
        <f>F36</f>
        <v>T4</v>
      </c>
      <c r="J35" s="77"/>
      <c r="L35" s="46"/>
      <c r="M35" s="46"/>
    </row>
    <row r="36" spans="1:14" ht="21.6" customHeight="1" x14ac:dyDescent="0.25">
      <c r="A36" s="79"/>
      <c r="B36" s="78">
        <f>B35</f>
        <v>45427</v>
      </c>
      <c r="C36" s="77" t="s">
        <v>16</v>
      </c>
      <c r="D36" s="77" t="s">
        <v>2</v>
      </c>
      <c r="E36" s="77"/>
      <c r="F36" s="77" t="s">
        <v>52</v>
      </c>
      <c r="G36" s="77" t="s">
        <v>3</v>
      </c>
      <c r="H36" s="77" t="s">
        <v>57</v>
      </c>
      <c r="I36" s="77" t="str">
        <f>H35</f>
        <v>T5</v>
      </c>
      <c r="J36" s="77"/>
      <c r="L36" s="46"/>
      <c r="M36" s="46"/>
    </row>
    <row r="37" spans="1:14" ht="21.6" customHeight="1" x14ac:dyDescent="0.25">
      <c r="A37" s="79"/>
      <c r="B37" s="78">
        <f>B36</f>
        <v>45427</v>
      </c>
      <c r="C37" s="77" t="s">
        <v>17</v>
      </c>
      <c r="D37" s="77" t="s">
        <v>2</v>
      </c>
      <c r="E37" s="77"/>
      <c r="F37" s="77" t="s">
        <v>50</v>
      </c>
      <c r="G37" s="77" t="s">
        <v>3</v>
      </c>
      <c r="H37" s="77" t="s">
        <v>49</v>
      </c>
      <c r="I37" s="77" t="str">
        <f>H36</f>
        <v>T6</v>
      </c>
      <c r="J37" s="77" t="str">
        <f>H37</f>
        <v>T1</v>
      </c>
      <c r="L37" s="46"/>
      <c r="M37" s="46"/>
    </row>
    <row r="38" spans="1:14" ht="21.6" customHeight="1" x14ac:dyDescent="0.3">
      <c r="A38" s="47" t="s">
        <v>30</v>
      </c>
      <c r="B38" s="48">
        <f>B35+7</f>
        <v>45434</v>
      </c>
      <c r="C38" s="47" t="s">
        <v>53</v>
      </c>
      <c r="D38" s="48" t="s">
        <v>2</v>
      </c>
      <c r="E38" s="49" t="str">
        <f>F38</f>
        <v>T1</v>
      </c>
      <c r="F38" s="48" t="s">
        <v>49</v>
      </c>
      <c r="G38" s="48" t="s">
        <v>3</v>
      </c>
      <c r="H38" s="48" t="s">
        <v>51</v>
      </c>
      <c r="I38" s="48" t="str">
        <f>F39</f>
        <v>T6</v>
      </c>
      <c r="J38" s="48"/>
    </row>
    <row r="39" spans="1:14" ht="21.6" customHeight="1" x14ac:dyDescent="0.3">
      <c r="A39" s="47"/>
      <c r="B39" s="48">
        <f>B38</f>
        <v>45434</v>
      </c>
      <c r="C39" s="47" t="s">
        <v>54</v>
      </c>
      <c r="D39" s="48" t="s">
        <v>2</v>
      </c>
      <c r="E39" s="49"/>
      <c r="F39" s="48" t="s">
        <v>57</v>
      </c>
      <c r="G39" s="48" t="s">
        <v>3</v>
      </c>
      <c r="H39" s="48" t="s">
        <v>50</v>
      </c>
      <c r="I39" s="48" t="str">
        <f>H38</f>
        <v>T3</v>
      </c>
      <c r="J39" s="48"/>
    </row>
    <row r="40" spans="1:14" ht="21.6" customHeight="1" x14ac:dyDescent="0.3">
      <c r="A40" s="47"/>
      <c r="B40" s="48">
        <f>B39</f>
        <v>45434</v>
      </c>
      <c r="C40" s="47" t="s">
        <v>55</v>
      </c>
      <c r="D40" s="48" t="s">
        <v>2</v>
      </c>
      <c r="E40" s="49"/>
      <c r="F40" s="48" t="s">
        <v>52</v>
      </c>
      <c r="G40" s="48" t="s">
        <v>3</v>
      </c>
      <c r="H40" s="48" t="s">
        <v>56</v>
      </c>
      <c r="I40" s="48" t="str">
        <f>H39</f>
        <v>T2</v>
      </c>
      <c r="J40" s="48" t="str">
        <f>H40</f>
        <v>T5</v>
      </c>
    </row>
    <row r="41" spans="1:14" ht="21.6" customHeight="1" x14ac:dyDescent="0.3">
      <c r="A41" s="79" t="s">
        <v>31</v>
      </c>
      <c r="B41" s="78">
        <f>B38+7</f>
        <v>45441</v>
      </c>
      <c r="C41" s="77" t="s">
        <v>15</v>
      </c>
      <c r="D41" s="77" t="s">
        <v>2</v>
      </c>
      <c r="E41" s="77" t="str">
        <f>F41</f>
        <v>T2</v>
      </c>
      <c r="F41" s="78" t="s">
        <v>50</v>
      </c>
      <c r="G41" s="78" t="s">
        <v>3</v>
      </c>
      <c r="H41" s="78" t="s">
        <v>51</v>
      </c>
      <c r="I41" s="78" t="str">
        <f>F42</f>
        <v>T4</v>
      </c>
      <c r="J41" s="78"/>
    </row>
    <row r="42" spans="1:14" ht="21.6" customHeight="1" x14ac:dyDescent="0.3">
      <c r="A42" s="79"/>
      <c r="B42" s="78">
        <f>B41</f>
        <v>45441</v>
      </c>
      <c r="C42" s="77" t="s">
        <v>16</v>
      </c>
      <c r="D42" s="77" t="s">
        <v>2</v>
      </c>
      <c r="E42" s="77"/>
      <c r="F42" s="78" t="s">
        <v>52</v>
      </c>
      <c r="G42" s="78" t="s">
        <v>3</v>
      </c>
      <c r="H42" s="78" t="s">
        <v>49</v>
      </c>
      <c r="I42" s="78" t="str">
        <f>H41</f>
        <v>T3</v>
      </c>
      <c r="J42" s="78"/>
    </row>
    <row r="43" spans="1:14" ht="21.6" customHeight="1" x14ac:dyDescent="0.3">
      <c r="A43" s="79"/>
      <c r="B43" s="78">
        <f>B42</f>
        <v>45441</v>
      </c>
      <c r="C43" s="77" t="s">
        <v>17</v>
      </c>
      <c r="D43" s="77" t="s">
        <v>2</v>
      </c>
      <c r="E43" s="77"/>
      <c r="F43" s="78" t="s">
        <v>57</v>
      </c>
      <c r="G43" s="78" t="s">
        <v>3</v>
      </c>
      <c r="H43" s="78" t="s">
        <v>56</v>
      </c>
      <c r="I43" s="78" t="str">
        <f>H42</f>
        <v>T1</v>
      </c>
      <c r="J43" s="78" t="str">
        <f>F43</f>
        <v>T6</v>
      </c>
    </row>
    <row r="44" spans="1:14" s="46" customFormat="1" ht="16.5" customHeight="1" x14ac:dyDescent="0.25">
      <c r="A44" s="146" t="s">
        <v>103</v>
      </c>
      <c r="B44" s="44">
        <f>B37+7</f>
        <v>45434</v>
      </c>
      <c r="C44" s="45" t="s">
        <v>100</v>
      </c>
      <c r="D44" s="43">
        <v>2</v>
      </c>
      <c r="E44" s="43" t="str">
        <f>F44</f>
        <v>1st</v>
      </c>
      <c r="F44" s="43" t="s">
        <v>106</v>
      </c>
      <c r="G44" s="43" t="s">
        <v>3</v>
      </c>
      <c r="H44" s="43" t="s">
        <v>107</v>
      </c>
      <c r="I44" s="43" t="str">
        <f>F45</f>
        <v>3rd</v>
      </c>
      <c r="J44" s="43"/>
      <c r="N44" s="52"/>
    </row>
    <row r="45" spans="1:14" s="46" customFormat="1" ht="16.5" customHeight="1" x14ac:dyDescent="0.25">
      <c r="A45" s="146"/>
      <c r="B45" s="44">
        <f>B44</f>
        <v>45434</v>
      </c>
      <c r="C45" s="45" t="s">
        <v>101</v>
      </c>
      <c r="D45" s="43">
        <v>2</v>
      </c>
      <c r="E45" s="43"/>
      <c r="F45" s="43" t="s">
        <v>108</v>
      </c>
      <c r="G45" s="43" t="s">
        <v>3</v>
      </c>
      <c r="H45" s="43" t="s">
        <v>109</v>
      </c>
      <c r="I45" s="43" t="str">
        <f>H44</f>
        <v>2nd</v>
      </c>
      <c r="J45" s="43" t="str">
        <f>H45</f>
        <v>4th</v>
      </c>
      <c r="N45" s="52"/>
    </row>
    <row r="46" spans="1:14" s="46" customFormat="1" ht="16.5" customHeight="1" x14ac:dyDescent="0.25">
      <c r="A46" s="43" t="s">
        <v>104</v>
      </c>
      <c r="B46" s="44">
        <f>B45+7</f>
        <v>45441</v>
      </c>
      <c r="C46" s="45" t="s">
        <v>100</v>
      </c>
      <c r="D46" s="43">
        <v>2</v>
      </c>
      <c r="E46" s="43" t="str">
        <f>F46</f>
        <v>Loser 1v2</v>
      </c>
      <c r="F46" s="43" t="s">
        <v>110</v>
      </c>
      <c r="G46" s="43" t="s">
        <v>3</v>
      </c>
      <c r="H46" s="43" t="s">
        <v>111</v>
      </c>
      <c r="I46" s="43" t="s">
        <v>112</v>
      </c>
      <c r="J46" s="43" t="str">
        <f>H46</f>
        <v>Winner 3v4</v>
      </c>
      <c r="N46" s="52"/>
    </row>
    <row r="47" spans="1:14" s="46" customFormat="1" ht="16.5" customHeight="1" x14ac:dyDescent="0.25">
      <c r="A47" s="43" t="s">
        <v>105</v>
      </c>
      <c r="B47" s="44">
        <f>B46+7</f>
        <v>45448</v>
      </c>
      <c r="C47" s="45" t="s">
        <v>54</v>
      </c>
      <c r="D47" s="43">
        <v>2</v>
      </c>
      <c r="E47" s="43" t="str">
        <f>F47</f>
        <v>Winner prelim</v>
      </c>
      <c r="F47" s="43" t="s">
        <v>113</v>
      </c>
      <c r="G47" s="43" t="s">
        <v>3</v>
      </c>
      <c r="H47" s="43" t="s">
        <v>114</v>
      </c>
      <c r="I47" s="43"/>
      <c r="J47" s="43" t="str">
        <f>H47</f>
        <v>Winner Semi</v>
      </c>
      <c r="N47" s="52"/>
    </row>
    <row r="48" spans="1:14" s="46" customFormat="1" ht="16.5" customHeight="1" x14ac:dyDescent="0.25">
      <c r="A48" s="52"/>
      <c r="B48" s="53"/>
      <c r="C48" s="54"/>
      <c r="D48" s="52"/>
      <c r="E48" s="52"/>
      <c r="F48" s="52"/>
      <c r="G48" s="52"/>
      <c r="H48" s="52"/>
      <c r="I48" s="52"/>
      <c r="J48" s="52"/>
      <c r="N48" s="52"/>
    </row>
    <row r="49" spans="1:14" s="46" customFormat="1" ht="16.5" customHeight="1" x14ac:dyDescent="0.25">
      <c r="A49" s="22" t="s">
        <v>89</v>
      </c>
      <c r="B49" s="22" t="s">
        <v>66</v>
      </c>
      <c r="C49" s="11"/>
      <c r="D49" s="80" t="s">
        <v>134</v>
      </c>
      <c r="E49" s="11" t="s">
        <v>63</v>
      </c>
      <c r="F49" s="11" t="s">
        <v>10</v>
      </c>
      <c r="G49" s="11"/>
      <c r="H49" s="11" t="s">
        <v>11</v>
      </c>
      <c r="I49" s="11" t="s">
        <v>64</v>
      </c>
      <c r="J49" s="11" t="s">
        <v>65</v>
      </c>
      <c r="K49" s="52"/>
      <c r="L49" s="52"/>
      <c r="M49" s="52"/>
      <c r="N49" s="52"/>
    </row>
    <row r="50" spans="1:14" s="46" customFormat="1" ht="16.5" customHeight="1" x14ac:dyDescent="0.25">
      <c r="A50" s="52">
        <f>F50+H50</f>
        <v>14</v>
      </c>
      <c r="B50" s="52">
        <f>E50+I50+J50</f>
        <v>12</v>
      </c>
      <c r="C50" s="52"/>
      <c r="D50" s="81" t="s">
        <v>49</v>
      </c>
      <c r="E50" s="52">
        <f>COUNTIF(E$1:E$43,$D50)</f>
        <v>3</v>
      </c>
      <c r="F50" s="52">
        <f t="shared" ref="F50:J50" si="0">COUNTIF(F$1:F$43,$D50)</f>
        <v>6</v>
      </c>
      <c r="G50" s="52"/>
      <c r="H50" s="52">
        <f t="shared" si="0"/>
        <v>8</v>
      </c>
      <c r="I50" s="52">
        <f t="shared" si="0"/>
        <v>8</v>
      </c>
      <c r="J50" s="52">
        <f t="shared" si="0"/>
        <v>1</v>
      </c>
      <c r="K50" s="51"/>
      <c r="L50" s="51"/>
      <c r="M50" s="51"/>
      <c r="N50" s="52"/>
    </row>
    <row r="51" spans="1:14" s="46" customFormat="1" ht="16.5" customHeight="1" x14ac:dyDescent="0.25">
      <c r="A51" s="52">
        <f t="shared" ref="A51:A55" si="1">F51+H51</f>
        <v>14</v>
      </c>
      <c r="B51" s="52">
        <f t="shared" ref="B51:B55" si="2">E51+I51+J51</f>
        <v>12</v>
      </c>
      <c r="C51" s="52"/>
      <c r="D51" s="81" t="s">
        <v>50</v>
      </c>
      <c r="E51" s="52">
        <f t="shared" ref="E51:J55" si="3">COUNTIF(E$1:E$43,$D51)</f>
        <v>3</v>
      </c>
      <c r="F51" s="52">
        <f t="shared" si="3"/>
        <v>7</v>
      </c>
      <c r="G51" s="52"/>
      <c r="H51" s="52">
        <f t="shared" si="3"/>
        <v>7</v>
      </c>
      <c r="I51" s="52">
        <f t="shared" si="3"/>
        <v>8</v>
      </c>
      <c r="J51" s="52">
        <f t="shared" si="3"/>
        <v>1</v>
      </c>
      <c r="K51" s="51"/>
      <c r="L51" s="51"/>
      <c r="M51" s="51"/>
      <c r="N51" s="52"/>
    </row>
    <row r="52" spans="1:14" s="46" customFormat="1" ht="16.5" customHeight="1" x14ac:dyDescent="0.25">
      <c r="A52" s="52">
        <f t="shared" si="1"/>
        <v>14</v>
      </c>
      <c r="B52" s="52">
        <f t="shared" si="2"/>
        <v>12</v>
      </c>
      <c r="C52" s="52"/>
      <c r="D52" s="81" t="s">
        <v>51</v>
      </c>
      <c r="E52" s="52">
        <f t="shared" si="3"/>
        <v>2</v>
      </c>
      <c r="F52" s="52">
        <f t="shared" si="3"/>
        <v>7</v>
      </c>
      <c r="G52" s="52"/>
      <c r="H52" s="52">
        <f t="shared" si="3"/>
        <v>7</v>
      </c>
      <c r="I52" s="52">
        <f t="shared" si="3"/>
        <v>7</v>
      </c>
      <c r="J52" s="52">
        <f t="shared" si="3"/>
        <v>3</v>
      </c>
      <c r="K52" s="51"/>
      <c r="L52" s="51"/>
      <c r="M52" s="51"/>
      <c r="N52" s="52"/>
    </row>
    <row r="53" spans="1:14" s="46" customFormat="1" ht="16.5" customHeight="1" x14ac:dyDescent="0.25">
      <c r="A53" s="52">
        <f t="shared" si="1"/>
        <v>14</v>
      </c>
      <c r="B53" s="52">
        <f t="shared" si="2"/>
        <v>11</v>
      </c>
      <c r="C53" s="52"/>
      <c r="D53" s="81" t="s">
        <v>52</v>
      </c>
      <c r="E53" s="52">
        <f t="shared" si="3"/>
        <v>1</v>
      </c>
      <c r="F53" s="52">
        <f t="shared" si="3"/>
        <v>8</v>
      </c>
      <c r="G53" s="52"/>
      <c r="H53" s="52">
        <f t="shared" si="3"/>
        <v>6</v>
      </c>
      <c r="I53" s="52">
        <f t="shared" si="3"/>
        <v>7</v>
      </c>
      <c r="J53" s="52">
        <f t="shared" si="3"/>
        <v>3</v>
      </c>
      <c r="K53" s="51"/>
      <c r="L53" s="51"/>
      <c r="M53" s="51"/>
      <c r="N53" s="52"/>
    </row>
    <row r="54" spans="1:14" s="46" customFormat="1" ht="16.5" customHeight="1" x14ac:dyDescent="0.25">
      <c r="A54" s="52">
        <f t="shared" si="1"/>
        <v>14</v>
      </c>
      <c r="B54" s="52">
        <f t="shared" si="2"/>
        <v>11</v>
      </c>
      <c r="C54" s="52"/>
      <c r="D54" s="81" t="s">
        <v>56</v>
      </c>
      <c r="E54" s="52">
        <f t="shared" si="3"/>
        <v>3</v>
      </c>
      <c r="F54" s="52">
        <f t="shared" si="3"/>
        <v>6</v>
      </c>
      <c r="G54" s="52"/>
      <c r="H54" s="52">
        <f t="shared" si="3"/>
        <v>8</v>
      </c>
      <c r="I54" s="52">
        <f t="shared" si="3"/>
        <v>6</v>
      </c>
      <c r="J54" s="52">
        <f t="shared" si="3"/>
        <v>2</v>
      </c>
      <c r="K54" s="51"/>
      <c r="L54" s="51"/>
      <c r="M54" s="51"/>
      <c r="N54" s="52"/>
    </row>
    <row r="55" spans="1:14" s="46" customFormat="1" ht="16.5" customHeight="1" x14ac:dyDescent="0.25">
      <c r="A55" s="52">
        <f t="shared" si="1"/>
        <v>14</v>
      </c>
      <c r="B55" s="52">
        <f t="shared" si="2"/>
        <v>12</v>
      </c>
      <c r="C55" s="52"/>
      <c r="D55" s="81" t="s">
        <v>57</v>
      </c>
      <c r="E55" s="52">
        <f t="shared" si="3"/>
        <v>2</v>
      </c>
      <c r="F55" s="52">
        <f t="shared" si="3"/>
        <v>8</v>
      </c>
      <c r="G55" s="52"/>
      <c r="H55" s="52">
        <f t="shared" si="3"/>
        <v>6</v>
      </c>
      <c r="I55" s="52">
        <f t="shared" si="3"/>
        <v>6</v>
      </c>
      <c r="J55" s="52">
        <f t="shared" si="3"/>
        <v>4</v>
      </c>
      <c r="K55" s="51"/>
      <c r="L55" s="51"/>
      <c r="M55" s="51"/>
      <c r="N55" s="52"/>
    </row>
  </sheetData>
  <mergeCells count="1">
    <mergeCell ref="A44:A45"/>
  </mergeCells>
  <phoneticPr fontId="2" type="noConversion"/>
  <pageMargins left="0.62992125984251968" right="0.23622047244094491" top="0.74803149606299213" bottom="0.74803149606299213" header="0.31496062992125984" footer="0.31496062992125984"/>
  <pageSetup paperSize="9" orientation="landscape" r:id="rId1"/>
  <headerFooter>
    <oddHeader>&amp;C&amp;A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F2AAF-AFEB-4DC9-8F26-00C6BC2914F1}">
  <sheetPr codeName="Sheet8"/>
  <dimension ref="A1:J71"/>
  <sheetViews>
    <sheetView workbookViewId="0">
      <selection activeCell="E8" sqref="E8"/>
    </sheetView>
  </sheetViews>
  <sheetFormatPr defaultColWidth="8.6640625" defaultRowHeight="16.5" customHeight="1" x14ac:dyDescent="0.2"/>
  <cols>
    <col min="1" max="1" width="9.5546875" style="38" customWidth="1"/>
    <col min="2" max="2" width="8.5546875" style="39" customWidth="1"/>
    <col min="3" max="3" width="7.33203125" style="40" customWidth="1"/>
    <col min="4" max="4" width="6" style="38" customWidth="1"/>
    <col min="5" max="5" width="21.33203125" style="38" customWidth="1"/>
    <col min="6" max="6" width="21" style="38" customWidth="1"/>
    <col min="7" max="7" width="3.44140625" style="38" customWidth="1"/>
    <col min="8" max="8" width="20.5546875" style="38" customWidth="1"/>
    <col min="9" max="9" width="21.5546875" style="38" customWidth="1"/>
    <col min="10" max="10" width="21.33203125" style="38" customWidth="1"/>
    <col min="11" max="16384" width="8.6640625" style="30"/>
  </cols>
  <sheetData>
    <row r="1" spans="1:10" ht="16.5" customHeight="1" x14ac:dyDescent="0.2">
      <c r="A1" s="27" t="s">
        <v>92</v>
      </c>
      <c r="B1" s="28" t="s">
        <v>6</v>
      </c>
      <c r="C1" s="29" t="s">
        <v>7</v>
      </c>
      <c r="D1" s="27" t="s">
        <v>8</v>
      </c>
      <c r="E1" s="27" t="s">
        <v>91</v>
      </c>
      <c r="F1" s="27" t="s">
        <v>10</v>
      </c>
      <c r="G1" s="27"/>
      <c r="H1" s="27" t="s">
        <v>11</v>
      </c>
      <c r="I1" s="27" t="s">
        <v>90</v>
      </c>
      <c r="J1" s="27" t="s">
        <v>99</v>
      </c>
    </row>
    <row r="2" spans="1:10" ht="16.5" customHeight="1" x14ac:dyDescent="0.2">
      <c r="A2" s="31" t="s">
        <v>14</v>
      </c>
      <c r="B2" s="32">
        <v>45330</v>
      </c>
      <c r="C2" s="33" t="s">
        <v>15</v>
      </c>
      <c r="D2" s="31">
        <v>2</v>
      </c>
      <c r="E2" s="31" t="str">
        <f>F2</f>
        <v>T1</v>
      </c>
      <c r="F2" s="31" t="s">
        <v>49</v>
      </c>
      <c r="G2" s="31" t="s">
        <v>3</v>
      </c>
      <c r="H2" s="31" t="s">
        <v>56</v>
      </c>
      <c r="I2" s="31" t="str">
        <f>F3</f>
        <v>T2</v>
      </c>
      <c r="J2" s="31"/>
    </row>
    <row r="3" spans="1:10" ht="16.5" customHeight="1" x14ac:dyDescent="0.2">
      <c r="A3" s="31"/>
      <c r="B3" s="32">
        <f>B2</f>
        <v>45330</v>
      </c>
      <c r="C3" s="33" t="s">
        <v>16</v>
      </c>
      <c r="D3" s="31">
        <v>2</v>
      </c>
      <c r="E3" s="31"/>
      <c r="F3" s="31" t="s">
        <v>50</v>
      </c>
      <c r="G3" s="31" t="s">
        <v>3</v>
      </c>
      <c r="H3" s="31" t="s">
        <v>57</v>
      </c>
      <c r="I3" s="31" t="str">
        <f>H2</f>
        <v>T5</v>
      </c>
      <c r="J3" s="31"/>
    </row>
    <row r="4" spans="1:10" ht="16.5" customHeight="1" x14ac:dyDescent="0.2">
      <c r="A4" s="31"/>
      <c r="B4" s="32">
        <f>B3</f>
        <v>45330</v>
      </c>
      <c r="C4" s="33" t="s">
        <v>17</v>
      </c>
      <c r="D4" s="31">
        <v>2</v>
      </c>
      <c r="E4" s="31"/>
      <c r="F4" s="31" t="s">
        <v>51</v>
      </c>
      <c r="G4" s="31" t="s">
        <v>3</v>
      </c>
      <c r="H4" s="31" t="s">
        <v>68</v>
      </c>
      <c r="I4" s="31" t="str">
        <f>H3</f>
        <v>T6</v>
      </c>
      <c r="J4" s="31" t="str">
        <f>H4</f>
        <v>T7</v>
      </c>
    </row>
    <row r="5" spans="1:10" ht="16.5" customHeight="1" x14ac:dyDescent="0.2">
      <c r="A5" s="31"/>
      <c r="B5" s="32">
        <f>B4</f>
        <v>45330</v>
      </c>
      <c r="C5" s="33" t="s">
        <v>102</v>
      </c>
      <c r="D5" s="31"/>
      <c r="E5" s="31"/>
      <c r="F5" s="31" t="s">
        <v>52</v>
      </c>
      <c r="G5" s="31"/>
      <c r="H5" s="31"/>
      <c r="I5" s="31"/>
      <c r="J5" s="31"/>
    </row>
    <row r="6" spans="1:10" ht="16.5" customHeight="1" x14ac:dyDescent="0.2">
      <c r="A6" s="34" t="s">
        <v>18</v>
      </c>
      <c r="B6" s="35">
        <f>B2+7</f>
        <v>45337</v>
      </c>
      <c r="C6" s="36" t="s">
        <v>15</v>
      </c>
      <c r="D6" s="34">
        <v>2</v>
      </c>
      <c r="E6" s="34" t="str">
        <f>F6</f>
        <v>T2</v>
      </c>
      <c r="F6" s="34" t="s">
        <v>50</v>
      </c>
      <c r="G6" s="34" t="s">
        <v>3</v>
      </c>
      <c r="H6" s="34" t="s">
        <v>52</v>
      </c>
      <c r="I6" s="34" t="str">
        <f>F7</f>
        <v>T7</v>
      </c>
      <c r="J6" s="34"/>
    </row>
    <row r="7" spans="1:10" ht="16.5" customHeight="1" x14ac:dyDescent="0.2">
      <c r="A7" s="34"/>
      <c r="B7" s="35">
        <f>B6</f>
        <v>45337</v>
      </c>
      <c r="C7" s="36" t="s">
        <v>16</v>
      </c>
      <c r="D7" s="34">
        <v>2</v>
      </c>
      <c r="E7" s="34"/>
      <c r="F7" s="34" t="s">
        <v>68</v>
      </c>
      <c r="G7" s="34" t="s">
        <v>3</v>
      </c>
      <c r="H7" s="34" t="s">
        <v>56</v>
      </c>
      <c r="I7" s="34" t="str">
        <f>H6</f>
        <v>T4</v>
      </c>
      <c r="J7" s="34"/>
    </row>
    <row r="8" spans="1:10" ht="16.5" customHeight="1" x14ac:dyDescent="0.2">
      <c r="A8" s="34"/>
      <c r="B8" s="35">
        <f>B7</f>
        <v>45337</v>
      </c>
      <c r="C8" s="36" t="s">
        <v>17</v>
      </c>
      <c r="D8" s="34">
        <v>2</v>
      </c>
      <c r="E8" s="34"/>
      <c r="F8" s="34" t="s">
        <v>51</v>
      </c>
      <c r="G8" s="34" t="s">
        <v>3</v>
      </c>
      <c r="H8" s="34" t="s">
        <v>57</v>
      </c>
      <c r="I8" s="34" t="str">
        <f>H7</f>
        <v>T5</v>
      </c>
      <c r="J8" s="34" t="str">
        <f>H8</f>
        <v>T6</v>
      </c>
    </row>
    <row r="9" spans="1:10" ht="16.5" customHeight="1" x14ac:dyDescent="0.2">
      <c r="A9" s="34"/>
      <c r="B9" s="35">
        <f>B6</f>
        <v>45337</v>
      </c>
      <c r="C9" s="36" t="s">
        <v>102</v>
      </c>
      <c r="D9" s="34"/>
      <c r="E9" s="34"/>
      <c r="F9" s="34" t="s">
        <v>49</v>
      </c>
      <c r="G9" s="34"/>
      <c r="H9" s="34"/>
      <c r="I9" s="34"/>
      <c r="J9" s="34"/>
    </row>
    <row r="10" spans="1:10" ht="16.5" customHeight="1" x14ac:dyDescent="0.2">
      <c r="A10" s="31" t="s">
        <v>19</v>
      </c>
      <c r="B10" s="32">
        <f>B6+7</f>
        <v>45344</v>
      </c>
      <c r="C10" s="33" t="s">
        <v>15</v>
      </c>
      <c r="D10" s="31">
        <v>2</v>
      </c>
      <c r="E10" s="31" t="str">
        <f t="shared" ref="E10" si="0">F10</f>
        <v>T7</v>
      </c>
      <c r="F10" s="31" t="s">
        <v>68</v>
      </c>
      <c r="G10" s="31" t="s">
        <v>3</v>
      </c>
      <c r="H10" s="31" t="s">
        <v>49</v>
      </c>
      <c r="I10" s="31" t="str">
        <f>F11</f>
        <v>T3</v>
      </c>
      <c r="J10" s="31"/>
    </row>
    <row r="11" spans="1:10" ht="16.5" customHeight="1" x14ac:dyDescent="0.2">
      <c r="A11" s="31"/>
      <c r="B11" s="32">
        <f>B10</f>
        <v>45344</v>
      </c>
      <c r="C11" s="33" t="s">
        <v>16</v>
      </c>
      <c r="D11" s="31">
        <v>2</v>
      </c>
      <c r="E11" s="31"/>
      <c r="F11" s="31" t="s">
        <v>51</v>
      </c>
      <c r="G11" s="31" t="s">
        <v>3</v>
      </c>
      <c r="H11" s="31" t="s">
        <v>52</v>
      </c>
      <c r="I11" s="31" t="str">
        <f>H10</f>
        <v>T1</v>
      </c>
      <c r="J11" s="31"/>
    </row>
    <row r="12" spans="1:10" ht="16.5" customHeight="1" x14ac:dyDescent="0.2">
      <c r="A12" s="31"/>
      <c r="B12" s="32">
        <f>B11</f>
        <v>45344</v>
      </c>
      <c r="C12" s="33" t="s">
        <v>17</v>
      </c>
      <c r="D12" s="31">
        <v>2</v>
      </c>
      <c r="E12" s="31"/>
      <c r="F12" s="31" t="s">
        <v>56</v>
      </c>
      <c r="G12" s="31" t="s">
        <v>3</v>
      </c>
      <c r="H12" s="31" t="s">
        <v>57</v>
      </c>
      <c r="I12" s="31" t="str">
        <f>H11</f>
        <v>T4</v>
      </c>
      <c r="J12" s="31" t="str">
        <f t="shared" ref="J12" si="1">H12</f>
        <v>T6</v>
      </c>
    </row>
    <row r="13" spans="1:10" ht="16.5" customHeight="1" x14ac:dyDescent="0.2">
      <c r="A13" s="31"/>
      <c r="B13" s="32">
        <f>B12</f>
        <v>45344</v>
      </c>
      <c r="C13" s="33" t="s">
        <v>102</v>
      </c>
      <c r="D13" s="31"/>
      <c r="E13" s="31"/>
      <c r="F13" s="31" t="s">
        <v>50</v>
      </c>
      <c r="G13" s="31"/>
      <c r="H13" s="31"/>
      <c r="I13" s="31"/>
      <c r="J13" s="31"/>
    </row>
    <row r="14" spans="1:10" ht="16.5" customHeight="1" x14ac:dyDescent="0.2">
      <c r="A14" s="34" t="s">
        <v>20</v>
      </c>
      <c r="B14" s="35">
        <f>B10+7</f>
        <v>45351</v>
      </c>
      <c r="C14" s="36" t="s">
        <v>15</v>
      </c>
      <c r="D14" s="34">
        <v>2</v>
      </c>
      <c r="E14" s="34" t="str">
        <f t="shared" ref="E14" si="2">F14</f>
        <v>T3</v>
      </c>
      <c r="F14" s="34" t="s">
        <v>51</v>
      </c>
      <c r="G14" s="34" t="s">
        <v>3</v>
      </c>
      <c r="H14" s="34" t="s">
        <v>50</v>
      </c>
      <c r="I14" s="34" t="str">
        <f>F15</f>
        <v>T1</v>
      </c>
      <c r="J14" s="34"/>
    </row>
    <row r="15" spans="1:10" ht="16.5" customHeight="1" x14ac:dyDescent="0.2">
      <c r="A15" s="34"/>
      <c r="B15" s="35">
        <f>B14</f>
        <v>45351</v>
      </c>
      <c r="C15" s="36" t="s">
        <v>16</v>
      </c>
      <c r="D15" s="34">
        <v>2</v>
      </c>
      <c r="E15" s="34"/>
      <c r="F15" s="34" t="s">
        <v>49</v>
      </c>
      <c r="G15" s="34" t="s">
        <v>3</v>
      </c>
      <c r="H15" s="34" t="s">
        <v>57</v>
      </c>
      <c r="I15" s="34" t="str">
        <f>H14</f>
        <v>T2</v>
      </c>
      <c r="J15" s="34"/>
    </row>
    <row r="16" spans="1:10" s="37" customFormat="1" ht="16.5" customHeight="1" x14ac:dyDescent="0.2">
      <c r="A16" s="34"/>
      <c r="B16" s="35">
        <f>B15</f>
        <v>45351</v>
      </c>
      <c r="C16" s="36" t="s">
        <v>17</v>
      </c>
      <c r="D16" s="34">
        <v>2</v>
      </c>
      <c r="E16" s="34"/>
      <c r="F16" s="34" t="s">
        <v>52</v>
      </c>
      <c r="G16" s="34" t="s">
        <v>3</v>
      </c>
      <c r="H16" s="34" t="s">
        <v>56</v>
      </c>
      <c r="I16" s="34" t="str">
        <f>H15</f>
        <v>T6</v>
      </c>
      <c r="J16" s="34" t="str">
        <f t="shared" ref="J16" si="3">H16</f>
        <v>T5</v>
      </c>
    </row>
    <row r="17" spans="1:10" s="37" customFormat="1" ht="16.5" customHeight="1" x14ac:dyDescent="0.2">
      <c r="A17" s="34"/>
      <c r="B17" s="35">
        <f>B14</f>
        <v>45351</v>
      </c>
      <c r="C17" s="36" t="s">
        <v>102</v>
      </c>
      <c r="D17" s="34"/>
      <c r="E17" s="34"/>
      <c r="F17" s="34" t="s">
        <v>68</v>
      </c>
      <c r="G17" s="34"/>
      <c r="H17" s="34"/>
      <c r="I17" s="34"/>
      <c r="J17" s="34"/>
    </row>
    <row r="18" spans="1:10" s="37" customFormat="1" ht="16.5" customHeight="1" x14ac:dyDescent="0.2">
      <c r="A18" s="31" t="s">
        <v>21</v>
      </c>
      <c r="B18" s="32">
        <f>B14+7</f>
        <v>45358</v>
      </c>
      <c r="C18" s="33" t="s">
        <v>15</v>
      </c>
      <c r="D18" s="31">
        <v>2</v>
      </c>
      <c r="E18" s="31" t="str">
        <f t="shared" ref="E18" si="4">F18</f>
        <v>T6</v>
      </c>
      <c r="F18" s="31" t="s">
        <v>57</v>
      </c>
      <c r="G18" s="31" t="s">
        <v>3</v>
      </c>
      <c r="H18" s="31" t="s">
        <v>68</v>
      </c>
      <c r="I18" s="31" t="str">
        <f>F19</f>
        <v>T2</v>
      </c>
      <c r="J18" s="31"/>
    </row>
    <row r="19" spans="1:10" s="37" customFormat="1" ht="16.5" customHeight="1" x14ac:dyDescent="0.2">
      <c r="A19" s="31"/>
      <c r="B19" s="32">
        <f>B18</f>
        <v>45358</v>
      </c>
      <c r="C19" s="33" t="s">
        <v>16</v>
      </c>
      <c r="D19" s="31">
        <v>2</v>
      </c>
      <c r="E19" s="31"/>
      <c r="F19" s="31" t="s">
        <v>50</v>
      </c>
      <c r="G19" s="31" t="s">
        <v>3</v>
      </c>
      <c r="H19" s="31" t="s">
        <v>56</v>
      </c>
      <c r="I19" s="31" t="str">
        <f>H18</f>
        <v>T7</v>
      </c>
      <c r="J19" s="31"/>
    </row>
    <row r="20" spans="1:10" s="37" customFormat="1" ht="16.5" customHeight="1" x14ac:dyDescent="0.2">
      <c r="A20" s="31"/>
      <c r="B20" s="32">
        <f>B19</f>
        <v>45358</v>
      </c>
      <c r="C20" s="33" t="s">
        <v>17</v>
      </c>
      <c r="D20" s="31">
        <v>2</v>
      </c>
      <c r="E20" s="31"/>
      <c r="F20" s="31" t="s">
        <v>52</v>
      </c>
      <c r="G20" s="31" t="s">
        <v>3</v>
      </c>
      <c r="H20" s="31" t="s">
        <v>49</v>
      </c>
      <c r="I20" s="31" t="str">
        <f>H19</f>
        <v>T5</v>
      </c>
      <c r="J20" s="31" t="str">
        <f t="shared" ref="J20" si="5">H20</f>
        <v>T1</v>
      </c>
    </row>
    <row r="21" spans="1:10" s="37" customFormat="1" ht="16.5" customHeight="1" x14ac:dyDescent="0.2">
      <c r="A21" s="31"/>
      <c r="B21" s="32">
        <f>B20</f>
        <v>45358</v>
      </c>
      <c r="C21" s="33" t="s">
        <v>102</v>
      </c>
      <c r="D21" s="31"/>
      <c r="E21" s="31"/>
      <c r="F21" s="31" t="s">
        <v>51</v>
      </c>
      <c r="G21" s="31"/>
      <c r="H21" s="31"/>
      <c r="I21" s="31"/>
      <c r="J21" s="31"/>
    </row>
    <row r="22" spans="1:10" s="37" customFormat="1" ht="16.5" customHeight="1" x14ac:dyDescent="0.2">
      <c r="A22" s="34" t="s">
        <v>22</v>
      </c>
      <c r="B22" s="35">
        <f>B18+7</f>
        <v>45365</v>
      </c>
      <c r="C22" s="36" t="s">
        <v>15</v>
      </c>
      <c r="D22" s="34">
        <v>2</v>
      </c>
      <c r="E22" s="34" t="str">
        <f t="shared" ref="E22" si="6">F22</f>
        <v>T5</v>
      </c>
      <c r="F22" s="34" t="s">
        <v>56</v>
      </c>
      <c r="G22" s="34" t="s">
        <v>3</v>
      </c>
      <c r="H22" s="34" t="s">
        <v>51</v>
      </c>
      <c r="I22" s="34" t="str">
        <f>F23</f>
        <v>T7</v>
      </c>
      <c r="J22" s="34"/>
    </row>
    <row r="23" spans="1:10" s="37" customFormat="1" ht="16.5" customHeight="1" x14ac:dyDescent="0.2">
      <c r="A23" s="34"/>
      <c r="B23" s="35">
        <f>B22</f>
        <v>45365</v>
      </c>
      <c r="C23" s="36" t="s">
        <v>16</v>
      </c>
      <c r="D23" s="34">
        <v>2</v>
      </c>
      <c r="E23" s="34"/>
      <c r="F23" s="34" t="s">
        <v>68</v>
      </c>
      <c r="G23" s="34" t="s">
        <v>3</v>
      </c>
      <c r="H23" s="34" t="s">
        <v>52</v>
      </c>
      <c r="I23" s="34" t="str">
        <f>H22</f>
        <v>T3</v>
      </c>
      <c r="J23" s="34"/>
    </row>
    <row r="24" spans="1:10" s="37" customFormat="1" ht="16.5" customHeight="1" x14ac:dyDescent="0.2">
      <c r="A24" s="34"/>
      <c r="B24" s="35">
        <f>B23</f>
        <v>45365</v>
      </c>
      <c r="C24" s="36" t="s">
        <v>17</v>
      </c>
      <c r="D24" s="34">
        <v>2</v>
      </c>
      <c r="E24" s="34"/>
      <c r="F24" s="34" t="s">
        <v>49</v>
      </c>
      <c r="G24" s="34" t="s">
        <v>3</v>
      </c>
      <c r="H24" s="34" t="s">
        <v>50</v>
      </c>
      <c r="I24" s="34" t="str">
        <f>H23</f>
        <v>T4</v>
      </c>
      <c r="J24" s="34" t="str">
        <f t="shared" ref="J24" si="7">H24</f>
        <v>T2</v>
      </c>
    </row>
    <row r="25" spans="1:10" s="37" customFormat="1" ht="16.5" customHeight="1" x14ac:dyDescent="0.2">
      <c r="A25" s="34"/>
      <c r="B25" s="35">
        <f>B22</f>
        <v>45365</v>
      </c>
      <c r="C25" s="36" t="s">
        <v>102</v>
      </c>
      <c r="D25" s="34"/>
      <c r="E25" s="34"/>
      <c r="F25" s="34" t="s">
        <v>57</v>
      </c>
      <c r="G25" s="34"/>
      <c r="H25" s="34"/>
      <c r="I25" s="34"/>
      <c r="J25" s="34"/>
    </row>
    <row r="26" spans="1:10" s="37" customFormat="1" ht="16.5" customHeight="1" x14ac:dyDescent="0.2">
      <c r="A26" s="31" t="s">
        <v>23</v>
      </c>
      <c r="B26" s="32">
        <f>B22+7</f>
        <v>45372</v>
      </c>
      <c r="C26" s="33" t="s">
        <v>15</v>
      </c>
      <c r="D26" s="31">
        <v>2</v>
      </c>
      <c r="E26" s="31" t="str">
        <f t="shared" ref="E26" si="8">F26</f>
        <v>T4</v>
      </c>
      <c r="F26" s="31" t="s">
        <v>52</v>
      </c>
      <c r="G26" s="31" t="s">
        <v>3</v>
      </c>
      <c r="H26" s="31" t="s">
        <v>57</v>
      </c>
      <c r="I26" s="31" t="str">
        <f>F27</f>
        <v>T3</v>
      </c>
      <c r="J26" s="31"/>
    </row>
    <row r="27" spans="1:10" s="37" customFormat="1" ht="16.5" customHeight="1" x14ac:dyDescent="0.2">
      <c r="A27" s="31"/>
      <c r="B27" s="32">
        <f>B26</f>
        <v>45372</v>
      </c>
      <c r="C27" s="33" t="s">
        <v>16</v>
      </c>
      <c r="D27" s="31">
        <v>2</v>
      </c>
      <c r="E27" s="31"/>
      <c r="F27" s="31" t="s">
        <v>51</v>
      </c>
      <c r="G27" s="31" t="s">
        <v>3</v>
      </c>
      <c r="H27" s="31" t="s">
        <v>49</v>
      </c>
      <c r="I27" s="31" t="str">
        <f>H26</f>
        <v>T6</v>
      </c>
      <c r="J27" s="31"/>
    </row>
    <row r="28" spans="1:10" s="37" customFormat="1" ht="16.5" customHeight="1" x14ac:dyDescent="0.2">
      <c r="A28" s="31"/>
      <c r="B28" s="32">
        <f>B27</f>
        <v>45372</v>
      </c>
      <c r="C28" s="33" t="s">
        <v>17</v>
      </c>
      <c r="D28" s="31">
        <v>2</v>
      </c>
      <c r="E28" s="31"/>
      <c r="F28" s="31" t="s">
        <v>50</v>
      </c>
      <c r="G28" s="31" t="s">
        <v>3</v>
      </c>
      <c r="H28" s="31" t="s">
        <v>68</v>
      </c>
      <c r="I28" s="31" t="str">
        <f>H27</f>
        <v>T1</v>
      </c>
      <c r="J28" s="31" t="str">
        <f t="shared" ref="J28" si="9">H28</f>
        <v>T7</v>
      </c>
    </row>
    <row r="29" spans="1:10" s="37" customFormat="1" ht="16.5" customHeight="1" x14ac:dyDescent="0.2">
      <c r="A29" s="31"/>
      <c r="B29" s="32">
        <f>B28</f>
        <v>45372</v>
      </c>
      <c r="C29" s="33" t="s">
        <v>102</v>
      </c>
      <c r="D29" s="31"/>
      <c r="E29" s="31"/>
      <c r="F29" s="31" t="s">
        <v>56</v>
      </c>
      <c r="G29" s="31"/>
      <c r="H29" s="31"/>
      <c r="I29" s="31"/>
      <c r="J29" s="31"/>
    </row>
    <row r="30" spans="1:10" s="37" customFormat="1" ht="16.5" customHeight="1" x14ac:dyDescent="0.2">
      <c r="A30" s="41" t="s">
        <v>24</v>
      </c>
      <c r="B30" s="35">
        <f>B26+7</f>
        <v>45379</v>
      </c>
      <c r="C30" s="36" t="s">
        <v>15</v>
      </c>
      <c r="D30" s="34">
        <v>2</v>
      </c>
      <c r="E30" s="34" t="str">
        <f t="shared" ref="E30" si="10">F30</f>
        <v>T1</v>
      </c>
      <c r="F30" s="34" t="s">
        <v>49</v>
      </c>
      <c r="G30" s="34" t="s">
        <v>3</v>
      </c>
      <c r="H30" s="34" t="s">
        <v>56</v>
      </c>
      <c r="I30" s="34" t="str">
        <f>F31</f>
        <v>T2</v>
      </c>
      <c r="J30" s="34"/>
    </row>
    <row r="31" spans="1:10" s="37" customFormat="1" ht="16.5" customHeight="1" x14ac:dyDescent="0.2">
      <c r="A31" s="34"/>
      <c r="B31" s="35">
        <f>B30</f>
        <v>45379</v>
      </c>
      <c r="C31" s="36" t="s">
        <v>16</v>
      </c>
      <c r="D31" s="34">
        <v>2</v>
      </c>
      <c r="E31" s="34"/>
      <c r="F31" s="34" t="s">
        <v>50</v>
      </c>
      <c r="G31" s="34" t="s">
        <v>3</v>
      </c>
      <c r="H31" s="34" t="s">
        <v>57</v>
      </c>
      <c r="I31" s="34" t="str">
        <f>H30</f>
        <v>T5</v>
      </c>
      <c r="J31" s="34"/>
    </row>
    <row r="32" spans="1:10" s="37" customFormat="1" ht="16.5" customHeight="1" x14ac:dyDescent="0.2">
      <c r="A32" s="34"/>
      <c r="B32" s="35">
        <f>B31</f>
        <v>45379</v>
      </c>
      <c r="C32" s="36" t="s">
        <v>17</v>
      </c>
      <c r="D32" s="34">
        <v>2</v>
      </c>
      <c r="E32" s="34"/>
      <c r="F32" s="34" t="s">
        <v>68</v>
      </c>
      <c r="G32" s="34" t="s">
        <v>3</v>
      </c>
      <c r="H32" s="34" t="s">
        <v>51</v>
      </c>
      <c r="I32" s="34" t="str">
        <f>H31</f>
        <v>T6</v>
      </c>
      <c r="J32" s="34" t="str">
        <f t="shared" ref="J32" si="11">H32</f>
        <v>T3</v>
      </c>
    </row>
    <row r="33" spans="1:10" s="37" customFormat="1" ht="16.5" customHeight="1" x14ac:dyDescent="0.2">
      <c r="A33" s="34"/>
      <c r="B33" s="35">
        <f>B32</f>
        <v>45379</v>
      </c>
      <c r="C33" s="36" t="s">
        <v>102</v>
      </c>
      <c r="D33" s="34"/>
      <c r="E33" s="34"/>
      <c r="F33" s="34" t="s">
        <v>52</v>
      </c>
      <c r="G33" s="34"/>
      <c r="H33" s="34"/>
      <c r="I33" s="34"/>
      <c r="J33" s="34"/>
    </row>
    <row r="34" spans="1:10" s="37" customFormat="1" ht="16.5" customHeight="1" x14ac:dyDescent="0.2">
      <c r="A34" s="34" t="s">
        <v>26</v>
      </c>
      <c r="B34" s="35">
        <f>B30+7</f>
        <v>45386</v>
      </c>
      <c r="C34" s="36" t="s">
        <v>15</v>
      </c>
      <c r="D34" s="34">
        <v>2</v>
      </c>
      <c r="E34" s="31" t="str">
        <f t="shared" ref="E34" si="12">F34</f>
        <v>T2</v>
      </c>
      <c r="F34" s="34" t="s">
        <v>50</v>
      </c>
      <c r="G34" s="34" t="s">
        <v>3</v>
      </c>
      <c r="H34" s="34" t="s">
        <v>52</v>
      </c>
      <c r="I34" s="34" t="str">
        <f>F35</f>
        <v>T7</v>
      </c>
      <c r="J34" s="31"/>
    </row>
    <row r="35" spans="1:10" s="37" customFormat="1" ht="16.5" customHeight="1" x14ac:dyDescent="0.2">
      <c r="A35" s="34"/>
      <c r="B35" s="35">
        <f>B34</f>
        <v>45386</v>
      </c>
      <c r="C35" s="36" t="s">
        <v>16</v>
      </c>
      <c r="D35" s="34">
        <v>2</v>
      </c>
      <c r="E35" s="31"/>
      <c r="F35" s="34" t="s">
        <v>68</v>
      </c>
      <c r="G35" s="34" t="s">
        <v>3</v>
      </c>
      <c r="H35" s="34" t="s">
        <v>56</v>
      </c>
      <c r="I35" s="34" t="str">
        <f>H34</f>
        <v>T4</v>
      </c>
      <c r="J35" s="31"/>
    </row>
    <row r="36" spans="1:10" s="37" customFormat="1" ht="16.5" customHeight="1" x14ac:dyDescent="0.2">
      <c r="A36" s="34"/>
      <c r="B36" s="35">
        <f>B35</f>
        <v>45386</v>
      </c>
      <c r="C36" s="36" t="s">
        <v>17</v>
      </c>
      <c r="D36" s="34">
        <v>2</v>
      </c>
      <c r="E36" s="31"/>
      <c r="F36" s="34" t="s">
        <v>57</v>
      </c>
      <c r="G36" s="34" t="s">
        <v>3</v>
      </c>
      <c r="H36" s="34" t="s">
        <v>51</v>
      </c>
      <c r="I36" s="34" t="str">
        <f>H35</f>
        <v>T5</v>
      </c>
      <c r="J36" s="31" t="str">
        <f t="shared" ref="J36" si="13">H36</f>
        <v>T3</v>
      </c>
    </row>
    <row r="37" spans="1:10" s="37" customFormat="1" ht="16.5" customHeight="1" x14ac:dyDescent="0.2">
      <c r="A37" s="34"/>
      <c r="B37" s="35">
        <f>B34</f>
        <v>45386</v>
      </c>
      <c r="C37" s="36" t="s">
        <v>102</v>
      </c>
      <c r="D37" s="34"/>
      <c r="E37" s="31"/>
      <c r="F37" s="34" t="s">
        <v>49</v>
      </c>
      <c r="G37" s="34"/>
      <c r="H37" s="34"/>
      <c r="I37" s="34"/>
      <c r="J37" s="31"/>
    </row>
    <row r="38" spans="1:10" s="37" customFormat="1" ht="16.5" customHeight="1" x14ac:dyDescent="0.2">
      <c r="A38" s="31" t="s">
        <v>27</v>
      </c>
      <c r="B38" s="32">
        <f>B34+7</f>
        <v>45393</v>
      </c>
      <c r="C38" s="33" t="s">
        <v>15</v>
      </c>
      <c r="D38" s="31">
        <v>2</v>
      </c>
      <c r="E38" s="34" t="str">
        <f t="shared" ref="E38" si="14">F38</f>
        <v>T7</v>
      </c>
      <c r="F38" s="31" t="s">
        <v>68</v>
      </c>
      <c r="G38" s="31" t="s">
        <v>3</v>
      </c>
      <c r="H38" s="31" t="s">
        <v>49</v>
      </c>
      <c r="I38" s="31" t="str">
        <f>F39</f>
        <v>T3</v>
      </c>
      <c r="J38" s="34"/>
    </row>
    <row r="39" spans="1:10" s="37" customFormat="1" ht="16.5" customHeight="1" x14ac:dyDescent="0.2">
      <c r="A39" s="31"/>
      <c r="B39" s="32">
        <f>B38</f>
        <v>45393</v>
      </c>
      <c r="C39" s="33" t="s">
        <v>16</v>
      </c>
      <c r="D39" s="31">
        <v>2</v>
      </c>
      <c r="E39" s="34"/>
      <c r="F39" s="31" t="s">
        <v>51</v>
      </c>
      <c r="G39" s="31" t="s">
        <v>3</v>
      </c>
      <c r="H39" s="31" t="s">
        <v>52</v>
      </c>
      <c r="I39" s="31" t="str">
        <f>H38</f>
        <v>T1</v>
      </c>
      <c r="J39" s="34"/>
    </row>
    <row r="40" spans="1:10" s="37" customFormat="1" ht="16.5" customHeight="1" x14ac:dyDescent="0.2">
      <c r="A40" s="31"/>
      <c r="B40" s="32">
        <f>B39</f>
        <v>45393</v>
      </c>
      <c r="C40" s="33" t="s">
        <v>17</v>
      </c>
      <c r="D40" s="31">
        <v>2</v>
      </c>
      <c r="E40" s="34"/>
      <c r="F40" s="31" t="s">
        <v>56</v>
      </c>
      <c r="G40" s="31" t="s">
        <v>3</v>
      </c>
      <c r="H40" s="31" t="s">
        <v>57</v>
      </c>
      <c r="I40" s="31" t="str">
        <f>H39</f>
        <v>T4</v>
      </c>
      <c r="J40" s="34" t="str">
        <f t="shared" ref="J40" si="15">H40</f>
        <v>T6</v>
      </c>
    </row>
    <row r="41" spans="1:10" s="37" customFormat="1" ht="16.5" customHeight="1" x14ac:dyDescent="0.2">
      <c r="A41" s="31"/>
      <c r="B41" s="32">
        <f>B40</f>
        <v>45393</v>
      </c>
      <c r="C41" s="33" t="s">
        <v>102</v>
      </c>
      <c r="D41" s="31"/>
      <c r="E41" s="34"/>
      <c r="F41" s="31" t="s">
        <v>50</v>
      </c>
      <c r="G41" s="31"/>
      <c r="H41" s="31"/>
      <c r="I41" s="31"/>
      <c r="J41" s="34"/>
    </row>
    <row r="42" spans="1:10" s="37" customFormat="1" ht="16.5" customHeight="1" x14ac:dyDescent="0.2">
      <c r="A42" s="34" t="s">
        <v>28</v>
      </c>
      <c r="B42" s="35">
        <f>B38+7</f>
        <v>45400</v>
      </c>
      <c r="C42" s="36" t="s">
        <v>15</v>
      </c>
      <c r="D42" s="34">
        <v>2</v>
      </c>
      <c r="E42" s="31" t="str">
        <f t="shared" ref="E42" si="16">F42</f>
        <v>T3</v>
      </c>
      <c r="F42" s="34" t="s">
        <v>51</v>
      </c>
      <c r="G42" s="34" t="s">
        <v>3</v>
      </c>
      <c r="H42" s="34" t="s">
        <v>50</v>
      </c>
      <c r="I42" s="34" t="str">
        <f>F43</f>
        <v>T1</v>
      </c>
      <c r="J42" s="31"/>
    </row>
    <row r="43" spans="1:10" s="37" customFormat="1" ht="16.5" customHeight="1" x14ac:dyDescent="0.2">
      <c r="A43" s="34"/>
      <c r="B43" s="35">
        <f>B42</f>
        <v>45400</v>
      </c>
      <c r="C43" s="36" t="s">
        <v>16</v>
      </c>
      <c r="D43" s="34">
        <v>2</v>
      </c>
      <c r="E43" s="31"/>
      <c r="F43" s="34" t="s">
        <v>49</v>
      </c>
      <c r="G43" s="34" t="s">
        <v>3</v>
      </c>
      <c r="H43" s="34" t="s">
        <v>57</v>
      </c>
      <c r="I43" s="34" t="str">
        <f>H42</f>
        <v>T2</v>
      </c>
      <c r="J43" s="31"/>
    </row>
    <row r="44" spans="1:10" s="37" customFormat="1" ht="16.5" customHeight="1" x14ac:dyDescent="0.2">
      <c r="A44" s="34"/>
      <c r="B44" s="35">
        <f>B43</f>
        <v>45400</v>
      </c>
      <c r="C44" s="36" t="s">
        <v>17</v>
      </c>
      <c r="D44" s="34">
        <v>2</v>
      </c>
      <c r="E44" s="31"/>
      <c r="F44" s="34" t="s">
        <v>52</v>
      </c>
      <c r="G44" s="34" t="s">
        <v>3</v>
      </c>
      <c r="H44" s="34" t="s">
        <v>56</v>
      </c>
      <c r="I44" s="34" t="str">
        <f>H43</f>
        <v>T6</v>
      </c>
      <c r="J44" s="31" t="str">
        <f t="shared" ref="J44" si="17">H44</f>
        <v>T5</v>
      </c>
    </row>
    <row r="45" spans="1:10" s="37" customFormat="1" ht="16.5" customHeight="1" x14ac:dyDescent="0.2">
      <c r="A45" s="34"/>
      <c r="B45" s="35">
        <f>B42</f>
        <v>45400</v>
      </c>
      <c r="C45" s="36" t="s">
        <v>102</v>
      </c>
      <c r="D45" s="34"/>
      <c r="E45" s="31"/>
      <c r="F45" s="34" t="s">
        <v>68</v>
      </c>
      <c r="G45" s="34"/>
      <c r="H45" s="34"/>
      <c r="I45" s="34"/>
      <c r="J45" s="31"/>
    </row>
    <row r="46" spans="1:10" s="37" customFormat="1" ht="16.5" customHeight="1" x14ac:dyDescent="0.2">
      <c r="A46" s="31" t="s">
        <v>29</v>
      </c>
      <c r="B46" s="32">
        <f>B42+7</f>
        <v>45407</v>
      </c>
      <c r="C46" s="33" t="s">
        <v>15</v>
      </c>
      <c r="D46" s="31">
        <v>2</v>
      </c>
      <c r="E46" s="34" t="str">
        <f t="shared" ref="E46" si="18">F46</f>
        <v>T6</v>
      </c>
      <c r="F46" s="31" t="s">
        <v>57</v>
      </c>
      <c r="G46" s="31" t="s">
        <v>3</v>
      </c>
      <c r="H46" s="31" t="s">
        <v>68</v>
      </c>
      <c r="I46" s="31" t="str">
        <f>F47</f>
        <v>T2</v>
      </c>
      <c r="J46" s="34"/>
    </row>
    <row r="47" spans="1:10" s="37" customFormat="1" ht="16.5" customHeight="1" x14ac:dyDescent="0.2">
      <c r="A47" s="31"/>
      <c r="B47" s="32">
        <f>B46</f>
        <v>45407</v>
      </c>
      <c r="C47" s="33" t="s">
        <v>16</v>
      </c>
      <c r="D47" s="31">
        <v>2</v>
      </c>
      <c r="E47" s="34"/>
      <c r="F47" s="31" t="s">
        <v>50</v>
      </c>
      <c r="G47" s="31" t="s">
        <v>3</v>
      </c>
      <c r="H47" s="31" t="s">
        <v>56</v>
      </c>
      <c r="I47" s="31" t="str">
        <f>H46</f>
        <v>T7</v>
      </c>
      <c r="J47" s="34"/>
    </row>
    <row r="48" spans="1:10" s="37" customFormat="1" ht="16.5" customHeight="1" x14ac:dyDescent="0.2">
      <c r="A48" s="31"/>
      <c r="B48" s="32">
        <f>B47</f>
        <v>45407</v>
      </c>
      <c r="C48" s="33" t="s">
        <v>17</v>
      </c>
      <c r="D48" s="31">
        <v>2</v>
      </c>
      <c r="E48" s="34"/>
      <c r="F48" s="31" t="s">
        <v>49</v>
      </c>
      <c r="G48" s="31" t="s">
        <v>3</v>
      </c>
      <c r="H48" s="31" t="s">
        <v>52</v>
      </c>
      <c r="I48" s="31" t="str">
        <f>H47</f>
        <v>T5</v>
      </c>
      <c r="J48" s="34" t="str">
        <f t="shared" ref="J48" si="19">H48</f>
        <v>T4</v>
      </c>
    </row>
    <row r="49" spans="1:10" s="37" customFormat="1" ht="16.5" customHeight="1" x14ac:dyDescent="0.2">
      <c r="A49" s="31"/>
      <c r="B49" s="32">
        <f>B48</f>
        <v>45407</v>
      </c>
      <c r="C49" s="33" t="s">
        <v>102</v>
      </c>
      <c r="D49" s="31"/>
      <c r="E49" s="34"/>
      <c r="F49" s="31" t="s">
        <v>51</v>
      </c>
      <c r="G49" s="31"/>
      <c r="H49" s="31"/>
      <c r="I49" s="31"/>
      <c r="J49" s="34"/>
    </row>
    <row r="50" spans="1:10" s="37" customFormat="1" ht="16.5" customHeight="1" x14ac:dyDescent="0.2">
      <c r="A50" s="34" t="s">
        <v>30</v>
      </c>
      <c r="B50" s="35">
        <f>B46+7</f>
        <v>45414</v>
      </c>
      <c r="C50" s="36" t="s">
        <v>15</v>
      </c>
      <c r="D50" s="34">
        <v>2</v>
      </c>
      <c r="E50" s="31" t="str">
        <f t="shared" ref="E50" si="20">F50</f>
        <v>T5</v>
      </c>
      <c r="F50" s="34" t="s">
        <v>56</v>
      </c>
      <c r="G50" s="34" t="s">
        <v>3</v>
      </c>
      <c r="H50" s="34" t="s">
        <v>51</v>
      </c>
      <c r="I50" s="34" t="str">
        <f>F51</f>
        <v>T7</v>
      </c>
      <c r="J50" s="31"/>
    </row>
    <row r="51" spans="1:10" s="37" customFormat="1" ht="16.5" customHeight="1" x14ac:dyDescent="0.2">
      <c r="A51" s="34"/>
      <c r="B51" s="35">
        <f>B50</f>
        <v>45414</v>
      </c>
      <c r="C51" s="36" t="s">
        <v>16</v>
      </c>
      <c r="D51" s="34">
        <v>2</v>
      </c>
      <c r="E51" s="31"/>
      <c r="F51" s="34" t="s">
        <v>68</v>
      </c>
      <c r="G51" s="34" t="s">
        <v>3</v>
      </c>
      <c r="H51" s="34" t="s">
        <v>52</v>
      </c>
      <c r="I51" s="34" t="str">
        <f>H50</f>
        <v>T3</v>
      </c>
      <c r="J51" s="31"/>
    </row>
    <row r="52" spans="1:10" s="37" customFormat="1" ht="16.5" customHeight="1" x14ac:dyDescent="0.2">
      <c r="A52" s="34"/>
      <c r="B52" s="35">
        <f>B51</f>
        <v>45414</v>
      </c>
      <c r="C52" s="36" t="s">
        <v>17</v>
      </c>
      <c r="D52" s="34">
        <v>2</v>
      </c>
      <c r="E52" s="31"/>
      <c r="F52" s="34" t="s">
        <v>50</v>
      </c>
      <c r="G52" s="34" t="s">
        <v>3</v>
      </c>
      <c r="H52" s="34" t="s">
        <v>49</v>
      </c>
      <c r="I52" s="34" t="str">
        <f>H51</f>
        <v>T4</v>
      </c>
      <c r="J52" s="31" t="str">
        <f t="shared" ref="J52" si="21">H52</f>
        <v>T1</v>
      </c>
    </row>
    <row r="53" spans="1:10" s="37" customFormat="1" ht="16.5" customHeight="1" x14ac:dyDescent="0.2">
      <c r="A53" s="34"/>
      <c r="B53" s="35">
        <f>B50</f>
        <v>45414</v>
      </c>
      <c r="C53" s="36" t="s">
        <v>102</v>
      </c>
      <c r="D53" s="34"/>
      <c r="E53" s="31"/>
      <c r="F53" s="34" t="s">
        <v>57</v>
      </c>
      <c r="G53" s="34"/>
      <c r="H53" s="34"/>
      <c r="I53" s="34"/>
      <c r="J53" s="31"/>
    </row>
    <row r="54" spans="1:10" s="37" customFormat="1" ht="16.5" customHeight="1" x14ac:dyDescent="0.2">
      <c r="A54" s="31" t="s">
        <v>31</v>
      </c>
      <c r="B54" s="32">
        <f>B50+7</f>
        <v>45421</v>
      </c>
      <c r="C54" s="33" t="s">
        <v>15</v>
      </c>
      <c r="D54" s="31">
        <v>2</v>
      </c>
      <c r="E54" s="34" t="str">
        <f t="shared" ref="E54" si="22">F54</f>
        <v>T4</v>
      </c>
      <c r="F54" s="31" t="s">
        <v>52</v>
      </c>
      <c r="G54" s="31" t="s">
        <v>3</v>
      </c>
      <c r="H54" s="31" t="s">
        <v>57</v>
      </c>
      <c r="I54" s="31" t="str">
        <f>F55</f>
        <v>T3</v>
      </c>
      <c r="J54" s="34"/>
    </row>
    <row r="55" spans="1:10" s="37" customFormat="1" ht="16.5" customHeight="1" x14ac:dyDescent="0.2">
      <c r="A55" s="31"/>
      <c r="B55" s="32">
        <f>B54</f>
        <v>45421</v>
      </c>
      <c r="C55" s="33" t="s">
        <v>16</v>
      </c>
      <c r="D55" s="31">
        <v>2</v>
      </c>
      <c r="E55" s="34"/>
      <c r="F55" s="31" t="s">
        <v>51</v>
      </c>
      <c r="G55" s="31" t="s">
        <v>3</v>
      </c>
      <c r="H55" s="31" t="s">
        <v>49</v>
      </c>
      <c r="I55" s="31" t="str">
        <f>H54</f>
        <v>T6</v>
      </c>
      <c r="J55" s="34"/>
    </row>
    <row r="56" spans="1:10" s="37" customFormat="1" ht="16.5" customHeight="1" x14ac:dyDescent="0.2">
      <c r="A56" s="31"/>
      <c r="B56" s="32">
        <f>B55</f>
        <v>45421</v>
      </c>
      <c r="C56" s="33" t="s">
        <v>17</v>
      </c>
      <c r="D56" s="31">
        <v>2</v>
      </c>
      <c r="E56" s="34"/>
      <c r="F56" s="31" t="s">
        <v>68</v>
      </c>
      <c r="G56" s="31" t="s">
        <v>3</v>
      </c>
      <c r="H56" s="31" t="s">
        <v>50</v>
      </c>
      <c r="I56" s="31" t="str">
        <f>H55</f>
        <v>T1</v>
      </c>
      <c r="J56" s="34" t="str">
        <f t="shared" ref="J56" si="23">H56</f>
        <v>T2</v>
      </c>
    </row>
    <row r="57" spans="1:10" ht="16.5" customHeight="1" x14ac:dyDescent="0.2">
      <c r="A57" s="31"/>
      <c r="B57" s="32">
        <f>B56</f>
        <v>45421</v>
      </c>
      <c r="C57" s="33" t="s">
        <v>102</v>
      </c>
      <c r="D57" s="31"/>
      <c r="E57" s="34"/>
      <c r="F57" s="31" t="s">
        <v>56</v>
      </c>
      <c r="G57" s="31"/>
      <c r="H57" s="31"/>
      <c r="I57" s="31"/>
      <c r="J57" s="34"/>
    </row>
    <row r="58" spans="1:10" ht="16.5" customHeight="1" x14ac:dyDescent="0.2">
      <c r="A58" s="153" t="s">
        <v>103</v>
      </c>
      <c r="B58" s="28">
        <f>B54+7</f>
        <v>45428</v>
      </c>
      <c r="C58" s="29" t="s">
        <v>100</v>
      </c>
      <c r="D58" s="27">
        <v>2</v>
      </c>
      <c r="E58" s="27" t="str">
        <f>F58</f>
        <v>1st</v>
      </c>
      <c r="F58" s="27" t="s">
        <v>106</v>
      </c>
      <c r="G58" s="27" t="s">
        <v>3</v>
      </c>
      <c r="H58" s="27" t="s">
        <v>107</v>
      </c>
      <c r="I58" s="27" t="str">
        <f>F59</f>
        <v>3rd</v>
      </c>
      <c r="J58" s="27"/>
    </row>
    <row r="59" spans="1:10" ht="16.5" customHeight="1" x14ac:dyDescent="0.2">
      <c r="A59" s="153"/>
      <c r="B59" s="28">
        <f>B58</f>
        <v>45428</v>
      </c>
      <c r="C59" s="29" t="s">
        <v>101</v>
      </c>
      <c r="D59" s="27">
        <v>2</v>
      </c>
      <c r="E59" s="27"/>
      <c r="F59" s="27" t="s">
        <v>108</v>
      </c>
      <c r="G59" s="27" t="s">
        <v>3</v>
      </c>
      <c r="H59" s="27" t="s">
        <v>109</v>
      </c>
      <c r="I59" s="27" t="str">
        <f>H58</f>
        <v>2nd</v>
      </c>
      <c r="J59" s="27" t="str">
        <f>H59</f>
        <v>4th</v>
      </c>
    </row>
    <row r="60" spans="1:10" ht="16.5" customHeight="1" x14ac:dyDescent="0.2">
      <c r="A60" s="27" t="s">
        <v>104</v>
      </c>
      <c r="B60" s="28">
        <f>B59+7</f>
        <v>45435</v>
      </c>
      <c r="C60" s="29" t="s">
        <v>100</v>
      </c>
      <c r="D60" s="27">
        <v>2</v>
      </c>
      <c r="E60" s="27" t="str">
        <f>F60</f>
        <v>Loser 1v2</v>
      </c>
      <c r="F60" s="27" t="s">
        <v>110</v>
      </c>
      <c r="G60" s="27" t="s">
        <v>3</v>
      </c>
      <c r="H60" s="27" t="s">
        <v>111</v>
      </c>
      <c r="I60" s="27" t="s">
        <v>112</v>
      </c>
      <c r="J60" s="27" t="str">
        <f>H60</f>
        <v>Winner 3v4</v>
      </c>
    </row>
    <row r="61" spans="1:10" ht="16.5" customHeight="1" x14ac:dyDescent="0.2">
      <c r="A61" s="27" t="s">
        <v>105</v>
      </c>
      <c r="B61" s="28">
        <f>B60+7</f>
        <v>45442</v>
      </c>
      <c r="C61" s="29" t="s">
        <v>54</v>
      </c>
      <c r="D61" s="27">
        <v>2</v>
      </c>
      <c r="E61" s="27" t="str">
        <f>F61</f>
        <v>Winner prelim</v>
      </c>
      <c r="F61" s="27" t="s">
        <v>113</v>
      </c>
      <c r="G61" s="27" t="s">
        <v>3</v>
      </c>
      <c r="H61" s="27" t="s">
        <v>114</v>
      </c>
      <c r="I61" s="27"/>
      <c r="J61" s="27" t="str">
        <f>H61</f>
        <v>Winner Semi</v>
      </c>
    </row>
    <row r="64" spans="1:10" ht="16.5" customHeight="1" x14ac:dyDescent="0.2">
      <c r="A64" s="22" t="s">
        <v>89</v>
      </c>
      <c r="B64" s="22" t="s">
        <v>66</v>
      </c>
      <c r="C64" s="11"/>
      <c r="D64" s="80" t="s">
        <v>134</v>
      </c>
      <c r="E64" s="11" t="s">
        <v>63</v>
      </c>
      <c r="F64" s="11" t="s">
        <v>10</v>
      </c>
      <c r="G64" s="11"/>
      <c r="H64" s="11" t="s">
        <v>11</v>
      </c>
      <c r="I64" s="11" t="s">
        <v>64</v>
      </c>
      <c r="J64" s="11" t="s">
        <v>65</v>
      </c>
    </row>
    <row r="65" spans="1:10" ht="16.5" customHeight="1" x14ac:dyDescent="0.2">
      <c r="A65" s="52">
        <f>F65+H65</f>
        <v>14</v>
      </c>
      <c r="B65" s="52">
        <f>E65+I65+J65</f>
        <v>10</v>
      </c>
      <c r="C65" s="52"/>
      <c r="D65" s="81" t="s">
        <v>49</v>
      </c>
      <c r="E65" s="52">
        <f>COUNTIF(E$1:E$57,$D65)</f>
        <v>2</v>
      </c>
      <c r="F65" s="52">
        <f t="shared" ref="F65:J65" si="24">COUNTIF(F$1:F$57,$D65)</f>
        <v>8</v>
      </c>
      <c r="G65" s="52"/>
      <c r="H65" s="52">
        <f t="shared" si="24"/>
        <v>6</v>
      </c>
      <c r="I65" s="52">
        <f t="shared" si="24"/>
        <v>6</v>
      </c>
      <c r="J65" s="52">
        <f t="shared" si="24"/>
        <v>2</v>
      </c>
    </row>
    <row r="66" spans="1:10" ht="16.5" customHeight="1" x14ac:dyDescent="0.2">
      <c r="A66" s="52">
        <f t="shared" ref="A66:A70" si="25">F66+H66</f>
        <v>14</v>
      </c>
      <c r="B66" s="52">
        <f t="shared" ref="B66:B70" si="26">E66+I66+J66</f>
        <v>10</v>
      </c>
      <c r="C66" s="52"/>
      <c r="D66" s="81" t="s">
        <v>50</v>
      </c>
      <c r="E66" s="52">
        <f t="shared" ref="E66:J71" si="27">COUNTIF(E$1:E$57,$D66)</f>
        <v>2</v>
      </c>
      <c r="F66" s="52">
        <f t="shared" si="27"/>
        <v>10</v>
      </c>
      <c r="G66" s="52"/>
      <c r="H66" s="52">
        <f t="shared" si="27"/>
        <v>4</v>
      </c>
      <c r="I66" s="52">
        <f t="shared" si="27"/>
        <v>6</v>
      </c>
      <c r="J66" s="52">
        <f t="shared" si="27"/>
        <v>2</v>
      </c>
    </row>
    <row r="67" spans="1:10" ht="16.5" customHeight="1" x14ac:dyDescent="0.2">
      <c r="A67" s="52">
        <f t="shared" si="25"/>
        <v>14</v>
      </c>
      <c r="B67" s="52">
        <f t="shared" si="26"/>
        <v>10</v>
      </c>
      <c r="C67" s="52"/>
      <c r="D67" s="81" t="s">
        <v>51</v>
      </c>
      <c r="E67" s="52">
        <f t="shared" si="27"/>
        <v>2</v>
      </c>
      <c r="F67" s="52">
        <f t="shared" si="27"/>
        <v>10</v>
      </c>
      <c r="G67" s="52"/>
      <c r="H67" s="52">
        <f t="shared" si="27"/>
        <v>4</v>
      </c>
      <c r="I67" s="52">
        <f t="shared" si="27"/>
        <v>6</v>
      </c>
      <c r="J67" s="52">
        <f t="shared" si="27"/>
        <v>2</v>
      </c>
    </row>
    <row r="68" spans="1:10" ht="16.5" customHeight="1" x14ac:dyDescent="0.2">
      <c r="A68" s="52">
        <f t="shared" si="25"/>
        <v>14</v>
      </c>
      <c r="B68" s="52">
        <f t="shared" si="26"/>
        <v>9</v>
      </c>
      <c r="C68" s="52"/>
      <c r="D68" s="81" t="s">
        <v>52</v>
      </c>
      <c r="E68" s="52">
        <f t="shared" si="27"/>
        <v>2</v>
      </c>
      <c r="F68" s="52">
        <f t="shared" si="27"/>
        <v>7</v>
      </c>
      <c r="G68" s="52"/>
      <c r="H68" s="52">
        <f t="shared" si="27"/>
        <v>7</v>
      </c>
      <c r="I68" s="52">
        <f t="shared" si="27"/>
        <v>6</v>
      </c>
      <c r="J68" s="52">
        <f t="shared" si="27"/>
        <v>1</v>
      </c>
    </row>
    <row r="69" spans="1:10" ht="16.5" customHeight="1" x14ac:dyDescent="0.2">
      <c r="A69" s="52">
        <f t="shared" si="25"/>
        <v>14</v>
      </c>
      <c r="B69" s="52">
        <f t="shared" si="26"/>
        <v>10</v>
      </c>
      <c r="C69" s="52"/>
      <c r="D69" s="81" t="s">
        <v>56</v>
      </c>
      <c r="E69" s="52">
        <f t="shared" si="27"/>
        <v>2</v>
      </c>
      <c r="F69" s="52">
        <f t="shared" si="27"/>
        <v>6</v>
      </c>
      <c r="G69" s="52"/>
      <c r="H69" s="52">
        <f t="shared" si="27"/>
        <v>8</v>
      </c>
      <c r="I69" s="52">
        <f t="shared" si="27"/>
        <v>6</v>
      </c>
      <c r="J69" s="52">
        <f t="shared" si="27"/>
        <v>2</v>
      </c>
    </row>
    <row r="70" spans="1:10" ht="16.5" customHeight="1" x14ac:dyDescent="0.2">
      <c r="A70" s="52">
        <f t="shared" si="25"/>
        <v>14</v>
      </c>
      <c r="B70" s="52">
        <f t="shared" si="26"/>
        <v>11</v>
      </c>
      <c r="C70" s="52"/>
      <c r="D70" s="81" t="s">
        <v>57</v>
      </c>
      <c r="E70" s="52">
        <f t="shared" si="27"/>
        <v>2</v>
      </c>
      <c r="F70" s="52">
        <f t="shared" si="27"/>
        <v>5</v>
      </c>
      <c r="G70" s="52"/>
      <c r="H70" s="52">
        <f t="shared" si="27"/>
        <v>9</v>
      </c>
      <c r="I70" s="52">
        <f t="shared" si="27"/>
        <v>6</v>
      </c>
      <c r="J70" s="52">
        <f t="shared" si="27"/>
        <v>3</v>
      </c>
    </row>
    <row r="71" spans="1:10" ht="16.5" customHeight="1" x14ac:dyDescent="0.2">
      <c r="A71" s="52">
        <f t="shared" ref="A71" si="28">F71+H71</f>
        <v>14</v>
      </c>
      <c r="B71" s="52">
        <f t="shared" ref="B71" si="29">E71+I71+J71</f>
        <v>10</v>
      </c>
      <c r="D71" s="81" t="s">
        <v>68</v>
      </c>
      <c r="E71" s="52">
        <f>COUNTIF(E$1:E$57,$D71)</f>
        <v>2</v>
      </c>
      <c r="F71" s="52">
        <f t="shared" si="27"/>
        <v>10</v>
      </c>
      <c r="G71" s="52"/>
      <c r="H71" s="52">
        <f t="shared" si="27"/>
        <v>4</v>
      </c>
      <c r="I71" s="52">
        <f t="shared" si="27"/>
        <v>6</v>
      </c>
      <c r="J71" s="52">
        <f t="shared" si="27"/>
        <v>2</v>
      </c>
    </row>
  </sheetData>
  <mergeCells count="1">
    <mergeCell ref="A58:A59"/>
  </mergeCells>
  <phoneticPr fontId="2" type="noConversion"/>
  <pageMargins left="0.25" right="0.25" top="0.75" bottom="0.75" header="0.3" footer="0.3"/>
  <pageSetup paperSize="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95E6C-050C-4A16-B908-28785D2D6CB0}">
  <sheetPr codeName="Sheet10"/>
  <dimension ref="A1:N135"/>
  <sheetViews>
    <sheetView topLeftCell="A82" workbookViewId="0">
      <selection activeCell="I114" sqref="I114"/>
    </sheetView>
  </sheetViews>
  <sheetFormatPr defaultColWidth="8.6640625" defaultRowHeight="13.8" x14ac:dyDescent="0.3"/>
  <cols>
    <col min="1" max="1" width="12" style="22" customWidth="1"/>
    <col min="2" max="3" width="7.6640625" style="11" customWidth="1"/>
    <col min="4" max="4" width="6.6640625" style="11" bestFit="1" customWidth="1"/>
    <col min="5" max="6" width="18" style="11" customWidth="1"/>
    <col min="7" max="7" width="6.88671875" style="11" customWidth="1"/>
    <col min="8" max="10" width="18" style="11" customWidth="1"/>
    <col min="11" max="11" width="8.6640625" style="11"/>
    <col min="12" max="12" width="19.6640625" style="11" bestFit="1" customWidth="1"/>
    <col min="13" max="16384" width="8.6640625" style="11"/>
  </cols>
  <sheetData>
    <row r="1" spans="1:14" x14ac:dyDescent="0.3">
      <c r="A1" s="72" t="s">
        <v>92</v>
      </c>
      <c r="B1" s="72" t="s">
        <v>6</v>
      </c>
      <c r="C1" s="9" t="s">
        <v>7</v>
      </c>
      <c r="D1" s="9" t="s">
        <v>8</v>
      </c>
      <c r="E1" s="9" t="s">
        <v>9</v>
      </c>
      <c r="F1" s="63" t="s">
        <v>10</v>
      </c>
      <c r="G1" s="9"/>
      <c r="H1" s="9" t="s">
        <v>11</v>
      </c>
      <c r="I1" s="9" t="s">
        <v>12</v>
      </c>
      <c r="J1" s="9" t="s">
        <v>13</v>
      </c>
    </row>
    <row r="2" spans="1:14" x14ac:dyDescent="0.3">
      <c r="A2" s="73" t="s">
        <v>14</v>
      </c>
      <c r="B2" s="74"/>
      <c r="C2" s="62" t="s">
        <v>15</v>
      </c>
      <c r="D2" s="62" t="s">
        <v>0</v>
      </c>
      <c r="E2" s="62" t="str">
        <f>H2</f>
        <v>T1</v>
      </c>
      <c r="F2" s="15" t="s">
        <v>56</v>
      </c>
      <c r="G2" s="15" t="s">
        <v>3</v>
      </c>
      <c r="H2" s="15" t="s">
        <v>49</v>
      </c>
      <c r="I2" s="62" t="str">
        <f>F5</f>
        <v>T2</v>
      </c>
      <c r="J2" s="62"/>
    </row>
    <row r="3" spans="1:14" x14ac:dyDescent="0.3">
      <c r="A3" s="73" t="s">
        <v>14</v>
      </c>
      <c r="B3" s="74"/>
      <c r="C3" s="62" t="s">
        <v>15</v>
      </c>
      <c r="D3" s="62" t="s">
        <v>1</v>
      </c>
      <c r="E3" s="62" t="str">
        <f t="shared" ref="E3:E4" si="0">F3</f>
        <v>G1</v>
      </c>
      <c r="F3" s="23" t="s">
        <v>79</v>
      </c>
      <c r="G3" s="23" t="s">
        <v>3</v>
      </c>
      <c r="H3" s="23" t="s">
        <v>83</v>
      </c>
      <c r="I3" s="62" t="str">
        <f>F6</f>
        <v>G7</v>
      </c>
      <c r="J3" s="62"/>
    </row>
    <row r="4" spans="1:14" x14ac:dyDescent="0.3">
      <c r="A4" s="73" t="s">
        <v>14</v>
      </c>
      <c r="B4" s="74"/>
      <c r="C4" s="62" t="s">
        <v>15</v>
      </c>
      <c r="D4" s="62" t="s">
        <v>2</v>
      </c>
      <c r="E4" s="62" t="str">
        <f t="shared" si="0"/>
        <v>G2</v>
      </c>
      <c r="F4" s="23" t="s">
        <v>80</v>
      </c>
      <c r="G4" s="23" t="s">
        <v>3</v>
      </c>
      <c r="H4" s="23" t="s">
        <v>84</v>
      </c>
      <c r="I4" s="62" t="str">
        <f>H6</f>
        <v>G3</v>
      </c>
      <c r="J4" s="62"/>
    </row>
    <row r="5" spans="1:14" x14ac:dyDescent="0.3">
      <c r="A5" s="73" t="s">
        <v>14</v>
      </c>
      <c r="B5" s="74"/>
      <c r="C5" s="62" t="s">
        <v>16</v>
      </c>
      <c r="D5" s="62" t="s">
        <v>0</v>
      </c>
      <c r="E5" s="62"/>
      <c r="F5" s="15" t="s">
        <v>50</v>
      </c>
      <c r="G5" s="15" t="s">
        <v>3</v>
      </c>
      <c r="H5" s="15" t="s">
        <v>57</v>
      </c>
      <c r="I5" s="62" t="str">
        <f>H8</f>
        <v>T3</v>
      </c>
      <c r="J5" s="62"/>
    </row>
    <row r="6" spans="1:14" x14ac:dyDescent="0.3">
      <c r="A6" s="73" t="s">
        <v>14</v>
      </c>
      <c r="B6" s="74"/>
      <c r="C6" s="62" t="s">
        <v>16</v>
      </c>
      <c r="D6" s="62" t="s">
        <v>1</v>
      </c>
      <c r="E6" s="62"/>
      <c r="F6" s="23" t="s">
        <v>85</v>
      </c>
      <c r="G6" s="23" t="s">
        <v>3</v>
      </c>
      <c r="H6" s="23" t="s">
        <v>81</v>
      </c>
      <c r="I6" s="62" t="str">
        <f>H3</f>
        <v>G5</v>
      </c>
      <c r="J6" s="62"/>
    </row>
    <row r="7" spans="1:14" x14ac:dyDescent="0.3">
      <c r="A7" s="73" t="s">
        <v>14</v>
      </c>
      <c r="B7" s="74"/>
      <c r="C7" s="62" t="s">
        <v>16</v>
      </c>
      <c r="D7" s="62" t="s">
        <v>2</v>
      </c>
      <c r="E7" s="62"/>
      <c r="F7" s="15" t="s">
        <v>52</v>
      </c>
      <c r="G7" s="15" t="s">
        <v>3</v>
      </c>
      <c r="H7" s="15" t="s">
        <v>67</v>
      </c>
      <c r="I7" s="62" t="str">
        <f>F8</f>
        <v>T7</v>
      </c>
      <c r="J7" s="62" t="str">
        <f>F7</f>
        <v>T4</v>
      </c>
    </row>
    <row r="8" spans="1:14" x14ac:dyDescent="0.3">
      <c r="A8" s="73" t="s">
        <v>14</v>
      </c>
      <c r="B8" s="74"/>
      <c r="C8" s="62" t="s">
        <v>17</v>
      </c>
      <c r="D8" s="62" t="s">
        <v>0</v>
      </c>
      <c r="E8" s="62"/>
      <c r="F8" s="15" t="s">
        <v>68</v>
      </c>
      <c r="G8" s="15" t="s">
        <v>3</v>
      </c>
      <c r="H8" s="15" t="s">
        <v>51</v>
      </c>
      <c r="I8" s="62" t="str">
        <f>H5</f>
        <v>T6</v>
      </c>
      <c r="J8" s="62" t="str">
        <f>H8</f>
        <v>T3</v>
      </c>
    </row>
    <row r="9" spans="1:14" x14ac:dyDescent="0.3">
      <c r="A9" s="73" t="s">
        <v>14</v>
      </c>
      <c r="B9" s="74"/>
      <c r="C9" s="62" t="s">
        <v>17</v>
      </c>
      <c r="D9" s="62" t="s">
        <v>1</v>
      </c>
      <c r="E9" s="62"/>
      <c r="F9" s="23" t="s">
        <v>82</v>
      </c>
      <c r="G9" s="23" t="s">
        <v>3</v>
      </c>
      <c r="H9" s="23" t="s">
        <v>86</v>
      </c>
      <c r="I9" s="62" t="str">
        <f>H7</f>
        <v>T8</v>
      </c>
      <c r="J9" s="62" t="str">
        <f>F9</f>
        <v>G4</v>
      </c>
      <c r="N9" s="11" t="s">
        <v>143</v>
      </c>
    </row>
    <row r="10" spans="1:14" x14ac:dyDescent="0.3">
      <c r="A10" s="73" t="s">
        <v>18</v>
      </c>
      <c r="B10" s="73"/>
      <c r="C10" s="64" t="s">
        <v>15</v>
      </c>
      <c r="D10" s="62" t="s">
        <v>0</v>
      </c>
      <c r="E10" s="62" t="str">
        <f t="shared" ref="E10:E52" si="1">F10</f>
        <v>T4</v>
      </c>
      <c r="F10" s="15" t="s">
        <v>52</v>
      </c>
      <c r="G10" s="15" t="s">
        <v>3</v>
      </c>
      <c r="H10" s="15" t="s">
        <v>50</v>
      </c>
      <c r="I10" s="62" t="str">
        <f>F13</f>
        <v>T5</v>
      </c>
      <c r="J10" s="62"/>
    </row>
    <row r="11" spans="1:14" x14ac:dyDescent="0.3">
      <c r="A11" s="73" t="s">
        <v>18</v>
      </c>
      <c r="B11" s="73"/>
      <c r="C11" s="64" t="s">
        <v>15</v>
      </c>
      <c r="D11" s="62" t="s">
        <v>1</v>
      </c>
      <c r="E11" s="62" t="str">
        <f t="shared" si="1"/>
        <v>T3</v>
      </c>
      <c r="F11" s="15" t="s">
        <v>51</v>
      </c>
      <c r="G11" s="15" t="s">
        <v>3</v>
      </c>
      <c r="H11" s="15" t="s">
        <v>57</v>
      </c>
      <c r="I11" s="62" t="str">
        <f>H13</f>
        <v>T8</v>
      </c>
      <c r="J11" s="62"/>
    </row>
    <row r="12" spans="1:14" x14ac:dyDescent="0.3">
      <c r="A12" s="73" t="s">
        <v>18</v>
      </c>
      <c r="B12" s="73"/>
      <c r="C12" s="64" t="s">
        <v>15</v>
      </c>
      <c r="D12" s="62" t="s">
        <v>2</v>
      </c>
      <c r="E12" s="62" t="str">
        <f t="shared" si="1"/>
        <v>G4</v>
      </c>
      <c r="F12" s="23" t="s">
        <v>82</v>
      </c>
      <c r="G12" s="23" t="s">
        <v>3</v>
      </c>
      <c r="H12" s="23" t="s">
        <v>80</v>
      </c>
      <c r="I12" s="62" t="str">
        <f>H15</f>
        <v>G6</v>
      </c>
      <c r="J12" s="62"/>
    </row>
    <row r="13" spans="1:14" x14ac:dyDescent="0.3">
      <c r="A13" s="73" t="s">
        <v>18</v>
      </c>
      <c r="B13" s="73"/>
      <c r="C13" s="62" t="s">
        <v>16</v>
      </c>
      <c r="D13" s="62" t="s">
        <v>0</v>
      </c>
      <c r="E13" s="62"/>
      <c r="F13" s="15" t="s">
        <v>56</v>
      </c>
      <c r="G13" s="15" t="s">
        <v>3</v>
      </c>
      <c r="H13" s="15" t="s">
        <v>67</v>
      </c>
      <c r="I13" s="62" t="str">
        <f>H10</f>
        <v>T2</v>
      </c>
      <c r="J13" s="62"/>
    </row>
    <row r="14" spans="1:14" x14ac:dyDescent="0.3">
      <c r="A14" s="73" t="s">
        <v>18</v>
      </c>
      <c r="B14" s="73"/>
      <c r="C14" s="62" t="s">
        <v>16</v>
      </c>
      <c r="D14" s="62" t="s">
        <v>1</v>
      </c>
      <c r="E14" s="62"/>
      <c r="F14" s="15" t="s">
        <v>49</v>
      </c>
      <c r="G14" s="15" t="s">
        <v>3</v>
      </c>
      <c r="H14" s="15" t="s">
        <v>68</v>
      </c>
      <c r="I14" s="62" t="str">
        <f>H11</f>
        <v>T6</v>
      </c>
      <c r="J14" s="62"/>
    </row>
    <row r="15" spans="1:14" x14ac:dyDescent="0.3">
      <c r="A15" s="73" t="s">
        <v>18</v>
      </c>
      <c r="B15" s="73"/>
      <c r="C15" s="62" t="s">
        <v>16</v>
      </c>
      <c r="D15" s="62" t="s">
        <v>2</v>
      </c>
      <c r="E15" s="62"/>
      <c r="F15" s="23" t="s">
        <v>81</v>
      </c>
      <c r="G15" s="23" t="s">
        <v>3</v>
      </c>
      <c r="H15" s="23" t="s">
        <v>84</v>
      </c>
      <c r="I15" s="62" t="str">
        <f>H12</f>
        <v>G2</v>
      </c>
      <c r="J15" s="62" t="str">
        <f>F15</f>
        <v>G3</v>
      </c>
    </row>
    <row r="16" spans="1:14" x14ac:dyDescent="0.3">
      <c r="A16" s="73" t="s">
        <v>18</v>
      </c>
      <c r="B16" s="73"/>
      <c r="C16" s="62" t="s">
        <v>17</v>
      </c>
      <c r="D16" s="62" t="s">
        <v>0</v>
      </c>
      <c r="E16" s="62"/>
      <c r="F16" s="23" t="s">
        <v>83</v>
      </c>
      <c r="G16" s="23" t="s">
        <v>3</v>
      </c>
      <c r="H16" s="23" t="s">
        <v>86</v>
      </c>
      <c r="I16" s="62" t="str">
        <f>F14</f>
        <v>T1</v>
      </c>
      <c r="J16" s="62" t="str">
        <f>F16</f>
        <v>G5</v>
      </c>
    </row>
    <row r="17" spans="1:10" x14ac:dyDescent="0.3">
      <c r="A17" s="73" t="s">
        <v>18</v>
      </c>
      <c r="B17" s="73"/>
      <c r="C17" s="62" t="s">
        <v>17</v>
      </c>
      <c r="D17" s="62" t="s">
        <v>1</v>
      </c>
      <c r="E17" s="62"/>
      <c r="F17" s="23" t="s">
        <v>79</v>
      </c>
      <c r="G17" s="23" t="s">
        <v>3</v>
      </c>
      <c r="H17" s="23" t="s">
        <v>85</v>
      </c>
      <c r="I17" s="62" t="str">
        <f>H14</f>
        <v>T7</v>
      </c>
      <c r="J17" s="62" t="str">
        <f>F17</f>
        <v>G1</v>
      </c>
    </row>
    <row r="18" spans="1:10" x14ac:dyDescent="0.3">
      <c r="A18" s="73" t="s">
        <v>19</v>
      </c>
      <c r="B18" s="73"/>
      <c r="C18" s="64" t="s">
        <v>15</v>
      </c>
      <c r="D18" s="62" t="s">
        <v>0</v>
      </c>
      <c r="E18" s="62" t="str">
        <f t="shared" ref="E18" si="2">F18</f>
        <v>G6</v>
      </c>
      <c r="F18" s="23" t="s">
        <v>84</v>
      </c>
      <c r="G18" s="23" t="s">
        <v>3</v>
      </c>
      <c r="H18" s="23" t="s">
        <v>79</v>
      </c>
      <c r="I18" s="62" t="str">
        <f>F23</f>
        <v>G8</v>
      </c>
      <c r="J18" s="62"/>
    </row>
    <row r="19" spans="1:10" x14ac:dyDescent="0.3">
      <c r="A19" s="73" t="s">
        <v>19</v>
      </c>
      <c r="B19" s="73"/>
      <c r="C19" s="64" t="s">
        <v>15</v>
      </c>
      <c r="D19" s="62" t="s">
        <v>1</v>
      </c>
      <c r="E19" s="62" t="str">
        <f t="shared" si="1"/>
        <v>G4</v>
      </c>
      <c r="F19" s="23" t="s">
        <v>82</v>
      </c>
      <c r="G19" s="23" t="s">
        <v>3</v>
      </c>
      <c r="H19" s="23" t="s">
        <v>83</v>
      </c>
      <c r="I19" s="62" t="str">
        <f>H23</f>
        <v>G7</v>
      </c>
      <c r="J19" s="62"/>
    </row>
    <row r="20" spans="1:10" x14ac:dyDescent="0.3">
      <c r="A20" s="73" t="s">
        <v>19</v>
      </c>
      <c r="B20" s="73"/>
      <c r="C20" s="64" t="s">
        <v>15</v>
      </c>
      <c r="D20" s="62" t="s">
        <v>2</v>
      </c>
      <c r="E20" s="62" t="str">
        <f t="shared" si="1"/>
        <v>G2</v>
      </c>
      <c r="F20" s="23" t="s">
        <v>80</v>
      </c>
      <c r="G20" s="23" t="s">
        <v>3</v>
      </c>
      <c r="H20" s="23" t="s">
        <v>81</v>
      </c>
      <c r="I20" s="62" t="str">
        <f>F21</f>
        <v>T8</v>
      </c>
      <c r="J20" s="62"/>
    </row>
    <row r="21" spans="1:10" x14ac:dyDescent="0.3">
      <c r="A21" s="73" t="s">
        <v>19</v>
      </c>
      <c r="B21" s="73"/>
      <c r="C21" s="62" t="s">
        <v>16</v>
      </c>
      <c r="D21" s="62" t="s">
        <v>0</v>
      </c>
      <c r="E21" s="62"/>
      <c r="F21" s="15" t="s">
        <v>67</v>
      </c>
      <c r="G21" s="15" t="s">
        <v>3</v>
      </c>
      <c r="H21" s="15" t="s">
        <v>68</v>
      </c>
      <c r="I21" s="62" t="str">
        <f>F25</f>
        <v>T3</v>
      </c>
      <c r="J21" s="62"/>
    </row>
    <row r="22" spans="1:10" x14ac:dyDescent="0.3">
      <c r="A22" s="73" t="s">
        <v>19</v>
      </c>
      <c r="B22" s="73"/>
      <c r="C22" s="62" t="s">
        <v>16</v>
      </c>
      <c r="D22" s="62" t="s">
        <v>1</v>
      </c>
      <c r="E22" s="62"/>
      <c r="F22" s="15" t="s">
        <v>52</v>
      </c>
      <c r="G22" s="15" t="s">
        <v>3</v>
      </c>
      <c r="H22" s="15" t="s">
        <v>56</v>
      </c>
      <c r="I22" s="62" t="str">
        <f>H25</f>
        <v>T2</v>
      </c>
      <c r="J22" s="62"/>
    </row>
    <row r="23" spans="1:10" x14ac:dyDescent="0.3">
      <c r="A23" s="73" t="s">
        <v>19</v>
      </c>
      <c r="B23" s="73"/>
      <c r="C23" s="62" t="s">
        <v>16</v>
      </c>
      <c r="D23" s="62" t="s">
        <v>2</v>
      </c>
      <c r="E23" s="62"/>
      <c r="F23" s="23" t="s">
        <v>86</v>
      </c>
      <c r="G23" s="23" t="s">
        <v>3</v>
      </c>
      <c r="H23" s="23" t="s">
        <v>85</v>
      </c>
      <c r="I23" s="62" t="str">
        <f>H20</f>
        <v>G3</v>
      </c>
      <c r="J23" s="62" t="str">
        <f t="shared" ref="J23:J25" si="3">H23</f>
        <v>G7</v>
      </c>
    </row>
    <row r="24" spans="1:10" x14ac:dyDescent="0.3">
      <c r="A24" s="73" t="s">
        <v>19</v>
      </c>
      <c r="B24" s="73"/>
      <c r="C24" s="62" t="s">
        <v>17</v>
      </c>
      <c r="D24" s="62" t="s">
        <v>0</v>
      </c>
      <c r="E24" s="62"/>
      <c r="F24" s="15" t="s">
        <v>57</v>
      </c>
      <c r="G24" s="15" t="s">
        <v>3</v>
      </c>
      <c r="H24" s="15" t="s">
        <v>49</v>
      </c>
      <c r="I24" s="62" t="str">
        <f>F22</f>
        <v>T4</v>
      </c>
      <c r="J24" s="62" t="str">
        <f t="shared" si="3"/>
        <v>T1</v>
      </c>
    </row>
    <row r="25" spans="1:10" x14ac:dyDescent="0.3">
      <c r="A25" s="73" t="s">
        <v>19</v>
      </c>
      <c r="B25" s="73"/>
      <c r="C25" s="62" t="s">
        <v>17</v>
      </c>
      <c r="D25" s="62" t="s">
        <v>1</v>
      </c>
      <c r="E25" s="62"/>
      <c r="F25" s="15" t="s">
        <v>51</v>
      </c>
      <c r="G25" s="15" t="s">
        <v>3</v>
      </c>
      <c r="H25" s="15" t="s">
        <v>50</v>
      </c>
      <c r="I25" s="62" t="str">
        <f>H22</f>
        <v>T5</v>
      </c>
      <c r="J25" s="62" t="str">
        <f t="shared" si="3"/>
        <v>T2</v>
      </c>
    </row>
    <row r="26" spans="1:10" x14ac:dyDescent="0.3">
      <c r="A26" s="73" t="s">
        <v>20</v>
      </c>
      <c r="B26" s="73"/>
      <c r="C26" s="64" t="s">
        <v>15</v>
      </c>
      <c r="D26" s="62" t="s">
        <v>0</v>
      </c>
      <c r="E26" s="62" t="str">
        <f t="shared" ref="E26" si="4">F26</f>
        <v>T1</v>
      </c>
      <c r="F26" s="15" t="s">
        <v>49</v>
      </c>
      <c r="G26" s="15" t="s">
        <v>3</v>
      </c>
      <c r="H26" s="15" t="s">
        <v>51</v>
      </c>
      <c r="I26" s="62" t="str">
        <f>F29</f>
        <v>T8</v>
      </c>
      <c r="J26" s="62"/>
    </row>
    <row r="27" spans="1:10" x14ac:dyDescent="0.3">
      <c r="A27" s="73" t="s">
        <v>20</v>
      </c>
      <c r="B27" s="74"/>
      <c r="C27" s="64" t="s">
        <v>15</v>
      </c>
      <c r="D27" s="62" t="s">
        <v>1</v>
      </c>
      <c r="E27" s="62" t="str">
        <f t="shared" si="1"/>
        <v>T4</v>
      </c>
      <c r="F27" s="15" t="s">
        <v>52</v>
      </c>
      <c r="G27" s="15" t="s">
        <v>3</v>
      </c>
      <c r="H27" s="15" t="s">
        <v>68</v>
      </c>
      <c r="I27" s="62" t="str">
        <f>H29</f>
        <v>T6</v>
      </c>
      <c r="J27" s="62"/>
    </row>
    <row r="28" spans="1:10" x14ac:dyDescent="0.3">
      <c r="A28" s="73" t="s">
        <v>20</v>
      </c>
      <c r="B28" s="73"/>
      <c r="C28" s="64" t="s">
        <v>15</v>
      </c>
      <c r="D28" s="62" t="s">
        <v>2</v>
      </c>
      <c r="E28" s="62" t="str">
        <f t="shared" si="1"/>
        <v>G3</v>
      </c>
      <c r="F28" s="23" t="s">
        <v>81</v>
      </c>
      <c r="G28" s="23" t="s">
        <v>3</v>
      </c>
      <c r="H28" s="23" t="s">
        <v>79</v>
      </c>
      <c r="I28" s="62" t="str">
        <f>H31</f>
        <v>G6</v>
      </c>
      <c r="J28" s="62"/>
    </row>
    <row r="29" spans="1:10" x14ac:dyDescent="0.3">
      <c r="A29" s="73" t="s">
        <v>20</v>
      </c>
      <c r="B29" s="74"/>
      <c r="C29" s="62" t="s">
        <v>16</v>
      </c>
      <c r="D29" s="62" t="s">
        <v>0</v>
      </c>
      <c r="E29" s="62"/>
      <c r="F29" s="15" t="s">
        <v>67</v>
      </c>
      <c r="G29" s="15" t="s">
        <v>3</v>
      </c>
      <c r="H29" s="15" t="s">
        <v>57</v>
      </c>
      <c r="I29" s="62" t="str">
        <f>F32</f>
        <v>T5</v>
      </c>
      <c r="J29" s="62"/>
    </row>
    <row r="30" spans="1:10" x14ac:dyDescent="0.3">
      <c r="A30" s="73" t="s">
        <v>20</v>
      </c>
      <c r="B30" s="73"/>
      <c r="C30" s="62" t="s">
        <v>16</v>
      </c>
      <c r="D30" s="62" t="s">
        <v>1</v>
      </c>
      <c r="E30" s="62"/>
      <c r="F30" s="23" t="s">
        <v>85</v>
      </c>
      <c r="G30" s="23" t="s">
        <v>3</v>
      </c>
      <c r="H30" s="23" t="s">
        <v>82</v>
      </c>
      <c r="I30" s="62" t="str">
        <f>H28</f>
        <v>G1</v>
      </c>
      <c r="J30" s="62"/>
    </row>
    <row r="31" spans="1:10" x14ac:dyDescent="0.3">
      <c r="A31" s="73" t="s">
        <v>20</v>
      </c>
      <c r="B31" s="74"/>
      <c r="C31" s="62" t="s">
        <v>16</v>
      </c>
      <c r="D31" s="62" t="s">
        <v>2</v>
      </c>
      <c r="E31" s="62"/>
      <c r="F31" s="23" t="s">
        <v>86</v>
      </c>
      <c r="G31" s="23" t="s">
        <v>3</v>
      </c>
      <c r="H31" s="23" t="s">
        <v>84</v>
      </c>
      <c r="I31" s="62" t="str">
        <f>H27</f>
        <v>T7</v>
      </c>
      <c r="J31" s="62" t="str">
        <f t="shared" ref="J31:J33" si="5">H31</f>
        <v>G6</v>
      </c>
    </row>
    <row r="32" spans="1:10" x14ac:dyDescent="0.3">
      <c r="A32" s="73" t="s">
        <v>20</v>
      </c>
      <c r="B32" s="74"/>
      <c r="C32" s="64" t="s">
        <v>17</v>
      </c>
      <c r="D32" s="62" t="s">
        <v>0</v>
      </c>
      <c r="E32" s="62"/>
      <c r="F32" s="15" t="s">
        <v>56</v>
      </c>
      <c r="G32" s="15" t="s">
        <v>3</v>
      </c>
      <c r="H32" s="15" t="s">
        <v>50</v>
      </c>
      <c r="I32" s="62" t="str">
        <f>F31</f>
        <v>G8</v>
      </c>
      <c r="J32" s="62" t="str">
        <f>F32</f>
        <v>T5</v>
      </c>
    </row>
    <row r="33" spans="1:10" x14ac:dyDescent="0.3">
      <c r="A33" s="73" t="s">
        <v>20</v>
      </c>
      <c r="B33" s="74"/>
      <c r="C33" s="64" t="s">
        <v>17</v>
      </c>
      <c r="D33" s="62" t="s">
        <v>1</v>
      </c>
      <c r="E33" s="62"/>
      <c r="F33" s="23" t="s">
        <v>83</v>
      </c>
      <c r="G33" s="23" t="s">
        <v>3</v>
      </c>
      <c r="H33" s="23" t="s">
        <v>80</v>
      </c>
      <c r="I33" s="62" t="str">
        <f>H30</f>
        <v>G4</v>
      </c>
      <c r="J33" s="62" t="str">
        <f t="shared" si="5"/>
        <v>G2</v>
      </c>
    </row>
    <row r="34" spans="1:10" x14ac:dyDescent="0.3">
      <c r="A34" s="73" t="s">
        <v>21</v>
      </c>
      <c r="B34" s="73"/>
      <c r="C34" s="62" t="s">
        <v>15</v>
      </c>
      <c r="D34" s="62" t="s">
        <v>0</v>
      </c>
      <c r="E34" s="62" t="str">
        <f t="shared" ref="E34" si="6">F34</f>
        <v>G4</v>
      </c>
      <c r="F34" s="23" t="s">
        <v>82</v>
      </c>
      <c r="G34" s="23" t="s">
        <v>3</v>
      </c>
      <c r="H34" s="23" t="s">
        <v>84</v>
      </c>
      <c r="I34" s="62" t="str">
        <f>F39</f>
        <v>G3</v>
      </c>
      <c r="J34" s="62"/>
    </row>
    <row r="35" spans="1:10" x14ac:dyDescent="0.3">
      <c r="A35" s="73" t="s">
        <v>21</v>
      </c>
      <c r="B35" s="74"/>
      <c r="C35" s="62" t="s">
        <v>15</v>
      </c>
      <c r="D35" s="62" t="s">
        <v>1</v>
      </c>
      <c r="E35" s="62" t="str">
        <f t="shared" si="1"/>
        <v>G1</v>
      </c>
      <c r="F35" s="23" t="s">
        <v>79</v>
      </c>
      <c r="G35" s="23" t="s">
        <v>3</v>
      </c>
      <c r="H35" s="23" t="s">
        <v>80</v>
      </c>
      <c r="I35" s="62" t="str">
        <f>H39</f>
        <v>G8</v>
      </c>
      <c r="J35" s="62"/>
    </row>
    <row r="36" spans="1:10" x14ac:dyDescent="0.3">
      <c r="A36" s="73" t="s">
        <v>21</v>
      </c>
      <c r="B36" s="73"/>
      <c r="C36" s="62" t="s">
        <v>15</v>
      </c>
      <c r="D36" s="62" t="s">
        <v>2</v>
      </c>
      <c r="E36" s="62" t="str">
        <f>H36</f>
        <v>G5</v>
      </c>
      <c r="F36" s="23" t="s">
        <v>85</v>
      </c>
      <c r="G36" s="23" t="s">
        <v>3</v>
      </c>
      <c r="H36" s="23" t="s">
        <v>83</v>
      </c>
      <c r="I36" s="62" t="str">
        <f>F37</f>
        <v>T2</v>
      </c>
      <c r="J36" s="62"/>
    </row>
    <row r="37" spans="1:10" x14ac:dyDescent="0.3">
      <c r="A37" s="73" t="s">
        <v>21</v>
      </c>
      <c r="B37" s="74"/>
      <c r="C37" s="62" t="s">
        <v>16</v>
      </c>
      <c r="D37" s="62" t="s">
        <v>0</v>
      </c>
      <c r="E37" s="62"/>
      <c r="F37" s="15" t="s">
        <v>50</v>
      </c>
      <c r="G37" s="15" t="s">
        <v>3</v>
      </c>
      <c r="H37" s="15" t="s">
        <v>49</v>
      </c>
      <c r="I37" s="62" t="str">
        <f>F40</f>
        <v>T3</v>
      </c>
      <c r="J37" s="62"/>
    </row>
    <row r="38" spans="1:10" x14ac:dyDescent="0.3">
      <c r="A38" s="73" t="s">
        <v>21</v>
      </c>
      <c r="B38" s="73"/>
      <c r="C38" s="62" t="s">
        <v>16</v>
      </c>
      <c r="D38" s="62" t="s">
        <v>1</v>
      </c>
      <c r="E38" s="62"/>
      <c r="F38" s="15" t="s">
        <v>56</v>
      </c>
      <c r="G38" s="15" t="s">
        <v>3</v>
      </c>
      <c r="H38" s="15" t="s">
        <v>68</v>
      </c>
      <c r="I38" s="62" t="str">
        <f>F41</f>
        <v>T4</v>
      </c>
      <c r="J38" s="62"/>
    </row>
    <row r="39" spans="1:10" x14ac:dyDescent="0.3">
      <c r="A39" s="73" t="s">
        <v>21</v>
      </c>
      <c r="B39" s="74"/>
      <c r="C39" s="62" t="s">
        <v>16</v>
      </c>
      <c r="D39" s="62" t="s">
        <v>2</v>
      </c>
      <c r="E39" s="62"/>
      <c r="F39" s="23" t="s">
        <v>81</v>
      </c>
      <c r="G39" s="23" t="s">
        <v>3</v>
      </c>
      <c r="H39" s="23" t="s">
        <v>86</v>
      </c>
      <c r="I39" s="62" t="str">
        <f>H36</f>
        <v>G5</v>
      </c>
      <c r="J39" s="62" t="str">
        <f t="shared" ref="J39:J41" si="7">H39</f>
        <v>G8</v>
      </c>
    </row>
    <row r="40" spans="1:10" x14ac:dyDescent="0.3">
      <c r="A40" s="73" t="s">
        <v>21</v>
      </c>
      <c r="B40" s="74"/>
      <c r="C40" s="62" t="s">
        <v>17</v>
      </c>
      <c r="D40" s="62" t="s">
        <v>0</v>
      </c>
      <c r="E40" s="62"/>
      <c r="F40" s="15" t="s">
        <v>51</v>
      </c>
      <c r="G40" s="15" t="s">
        <v>3</v>
      </c>
      <c r="H40" s="15" t="s">
        <v>67</v>
      </c>
      <c r="I40" s="62" t="str">
        <f>H37</f>
        <v>T1</v>
      </c>
      <c r="J40" s="62" t="str">
        <f t="shared" si="7"/>
        <v>T8</v>
      </c>
    </row>
    <row r="41" spans="1:10" x14ac:dyDescent="0.3">
      <c r="A41" s="73" t="s">
        <v>21</v>
      </c>
      <c r="B41" s="74"/>
      <c r="C41" s="62" t="s">
        <v>17</v>
      </c>
      <c r="D41" s="62" t="s">
        <v>1</v>
      </c>
      <c r="E41" s="62"/>
      <c r="F41" s="15" t="s">
        <v>52</v>
      </c>
      <c r="G41" s="15" t="s">
        <v>3</v>
      </c>
      <c r="H41" s="15" t="s">
        <v>57</v>
      </c>
      <c r="I41" s="62" t="str">
        <f>H38</f>
        <v>T7</v>
      </c>
      <c r="J41" s="62" t="str">
        <f t="shared" si="7"/>
        <v>T6</v>
      </c>
    </row>
    <row r="42" spans="1:10" x14ac:dyDescent="0.3">
      <c r="A42" s="73" t="s">
        <v>22</v>
      </c>
      <c r="B42" s="73"/>
      <c r="C42" s="62" t="s">
        <v>15</v>
      </c>
      <c r="D42" s="62" t="s">
        <v>0</v>
      </c>
      <c r="E42" s="62" t="str">
        <f t="shared" ref="E42" si="8">F42</f>
        <v>T7</v>
      </c>
      <c r="F42" s="15" t="s">
        <v>68</v>
      </c>
      <c r="G42" s="15" t="s">
        <v>3</v>
      </c>
      <c r="H42" s="15" t="s">
        <v>50</v>
      </c>
      <c r="I42" s="62" t="str">
        <f>F45</f>
        <v>T6</v>
      </c>
      <c r="J42" s="62"/>
    </row>
    <row r="43" spans="1:10" x14ac:dyDescent="0.3">
      <c r="A43" s="73" t="s">
        <v>22</v>
      </c>
      <c r="B43" s="74"/>
      <c r="C43" s="62" t="s">
        <v>15</v>
      </c>
      <c r="D43" s="62" t="s">
        <v>1</v>
      </c>
      <c r="E43" s="62" t="str">
        <f>F43</f>
        <v>T8</v>
      </c>
      <c r="F43" s="15" t="s">
        <v>67</v>
      </c>
      <c r="G43" s="15" t="s">
        <v>3</v>
      </c>
      <c r="H43" s="15" t="s">
        <v>49</v>
      </c>
      <c r="I43" s="62" t="str">
        <f>F46</f>
        <v>T4</v>
      </c>
      <c r="J43" s="62"/>
    </row>
    <row r="44" spans="1:10" x14ac:dyDescent="0.3">
      <c r="A44" s="73" t="s">
        <v>22</v>
      </c>
      <c r="B44" s="73"/>
      <c r="C44" s="62" t="s">
        <v>15</v>
      </c>
      <c r="D44" s="62" t="s">
        <v>2</v>
      </c>
      <c r="E44" s="62" t="str">
        <f t="shared" si="1"/>
        <v>G7</v>
      </c>
      <c r="F44" s="23" t="s">
        <v>85</v>
      </c>
      <c r="G44" s="23" t="s">
        <v>3</v>
      </c>
      <c r="H44" s="23" t="s">
        <v>80</v>
      </c>
      <c r="I44" s="62" t="str">
        <f>F47</f>
        <v>G1</v>
      </c>
      <c r="J44" s="62"/>
    </row>
    <row r="45" spans="1:10" x14ac:dyDescent="0.3">
      <c r="A45" s="73" t="s">
        <v>22</v>
      </c>
      <c r="B45" s="74"/>
      <c r="C45" s="62" t="s">
        <v>16</v>
      </c>
      <c r="D45" s="62" t="s">
        <v>0</v>
      </c>
      <c r="E45" s="62"/>
      <c r="F45" s="15" t="s">
        <v>57</v>
      </c>
      <c r="G45" s="15" t="s">
        <v>3</v>
      </c>
      <c r="H45" s="15" t="s">
        <v>56</v>
      </c>
      <c r="I45" s="62" t="str">
        <f>H42</f>
        <v>T2</v>
      </c>
      <c r="J45" s="62"/>
    </row>
    <row r="46" spans="1:10" x14ac:dyDescent="0.3">
      <c r="A46" s="73" t="s">
        <v>22</v>
      </c>
      <c r="B46" s="73"/>
      <c r="C46" s="62" t="s">
        <v>16</v>
      </c>
      <c r="D46" s="62" t="s">
        <v>1</v>
      </c>
      <c r="E46" s="62"/>
      <c r="F46" s="15" t="s">
        <v>52</v>
      </c>
      <c r="G46" s="15" t="s">
        <v>3</v>
      </c>
      <c r="H46" s="15" t="s">
        <v>51</v>
      </c>
      <c r="I46" s="62" t="str">
        <f>H43</f>
        <v>T1</v>
      </c>
      <c r="J46" s="62"/>
    </row>
    <row r="47" spans="1:10" x14ac:dyDescent="0.3">
      <c r="A47" s="73" t="s">
        <v>22</v>
      </c>
      <c r="B47" s="74"/>
      <c r="C47" s="62" t="s">
        <v>16</v>
      </c>
      <c r="D47" s="62" t="s">
        <v>2</v>
      </c>
      <c r="E47" s="62"/>
      <c r="F47" s="23" t="s">
        <v>79</v>
      </c>
      <c r="G47" s="23" t="s">
        <v>3</v>
      </c>
      <c r="H47" s="23" t="s">
        <v>86</v>
      </c>
      <c r="I47" s="62" t="str">
        <f>H44</f>
        <v>G2</v>
      </c>
      <c r="J47" s="62" t="str">
        <f t="shared" ref="J47:J49" si="9">H47</f>
        <v>G8</v>
      </c>
    </row>
    <row r="48" spans="1:10" x14ac:dyDescent="0.3">
      <c r="A48" s="73" t="s">
        <v>22</v>
      </c>
      <c r="B48" s="74"/>
      <c r="C48" s="62" t="s">
        <v>17</v>
      </c>
      <c r="D48" s="62" t="s">
        <v>0</v>
      </c>
      <c r="E48" s="62"/>
      <c r="F48" s="23" t="s">
        <v>84</v>
      </c>
      <c r="G48" s="23" t="s">
        <v>3</v>
      </c>
      <c r="H48" s="23" t="s">
        <v>83</v>
      </c>
      <c r="I48" s="62" t="str">
        <f>H45</f>
        <v>T5</v>
      </c>
      <c r="J48" s="62" t="str">
        <f t="shared" si="9"/>
        <v>G5</v>
      </c>
    </row>
    <row r="49" spans="1:10" x14ac:dyDescent="0.3">
      <c r="A49" s="73" t="s">
        <v>22</v>
      </c>
      <c r="B49" s="74"/>
      <c r="C49" s="62" t="s">
        <v>17</v>
      </c>
      <c r="D49" s="62" t="s">
        <v>1</v>
      </c>
      <c r="E49" s="62"/>
      <c r="F49" s="23" t="s">
        <v>82</v>
      </c>
      <c r="G49" s="23" t="s">
        <v>3</v>
      </c>
      <c r="H49" s="23" t="s">
        <v>81</v>
      </c>
      <c r="I49" s="62" t="str">
        <f>H46</f>
        <v>T3</v>
      </c>
      <c r="J49" s="62" t="str">
        <f t="shared" si="9"/>
        <v>G3</v>
      </c>
    </row>
    <row r="50" spans="1:10" x14ac:dyDescent="0.3">
      <c r="A50" s="73" t="s">
        <v>23</v>
      </c>
      <c r="B50" s="73"/>
      <c r="C50" s="62" t="s">
        <v>15</v>
      </c>
      <c r="D50" s="62" t="s">
        <v>0</v>
      </c>
      <c r="E50" s="62" t="str">
        <f t="shared" ref="E50" si="10">F50</f>
        <v>T5</v>
      </c>
      <c r="F50" s="15" t="s">
        <v>56</v>
      </c>
      <c r="G50" s="15" t="s">
        <v>3</v>
      </c>
      <c r="H50" s="15" t="s">
        <v>51</v>
      </c>
      <c r="I50" s="62" t="str">
        <f>F53</f>
        <v>T7</v>
      </c>
      <c r="J50" s="62"/>
    </row>
    <row r="51" spans="1:10" x14ac:dyDescent="0.3">
      <c r="A51" s="73" t="s">
        <v>23</v>
      </c>
      <c r="B51" s="74"/>
      <c r="C51" s="62" t="s">
        <v>15</v>
      </c>
      <c r="D51" s="62" t="s">
        <v>1</v>
      </c>
      <c r="E51" s="62" t="str">
        <f t="shared" si="1"/>
        <v>G5</v>
      </c>
      <c r="F51" s="23" t="s">
        <v>83</v>
      </c>
      <c r="G51" s="23" t="s">
        <v>3</v>
      </c>
      <c r="H51" s="23" t="s">
        <v>81</v>
      </c>
      <c r="I51" s="62" t="str">
        <f>F55</f>
        <v>G1</v>
      </c>
      <c r="J51" s="62"/>
    </row>
    <row r="52" spans="1:10" x14ac:dyDescent="0.3">
      <c r="A52" s="73" t="s">
        <v>23</v>
      </c>
      <c r="B52" s="73"/>
      <c r="C52" s="62" t="s">
        <v>15</v>
      </c>
      <c r="D52" s="62" t="s">
        <v>2</v>
      </c>
      <c r="E52" s="62" t="str">
        <f t="shared" si="1"/>
        <v>G7</v>
      </c>
      <c r="F52" s="23" t="s">
        <v>85</v>
      </c>
      <c r="G52" s="23" t="s">
        <v>3</v>
      </c>
      <c r="H52" s="23" t="s">
        <v>82</v>
      </c>
      <c r="I52" s="62" t="str">
        <f>H55</f>
        <v>G6</v>
      </c>
      <c r="J52" s="62"/>
    </row>
    <row r="53" spans="1:10" x14ac:dyDescent="0.3">
      <c r="A53" s="73" t="s">
        <v>23</v>
      </c>
      <c r="B53" s="74"/>
      <c r="C53" s="62" t="s">
        <v>16</v>
      </c>
      <c r="D53" s="62" t="s">
        <v>0</v>
      </c>
      <c r="E53" s="62"/>
      <c r="F53" s="15" t="s">
        <v>68</v>
      </c>
      <c r="G53" s="15" t="s">
        <v>3</v>
      </c>
      <c r="H53" s="15" t="s">
        <v>57</v>
      </c>
      <c r="I53" s="62" t="str">
        <f>H50</f>
        <v>T3</v>
      </c>
      <c r="J53" s="62"/>
    </row>
    <row r="54" spans="1:10" x14ac:dyDescent="0.3">
      <c r="A54" s="73" t="s">
        <v>23</v>
      </c>
      <c r="B54" s="73"/>
      <c r="C54" s="62" t="s">
        <v>16</v>
      </c>
      <c r="D54" s="62" t="s">
        <v>1</v>
      </c>
      <c r="E54" s="62"/>
      <c r="F54" s="15" t="s">
        <v>49</v>
      </c>
      <c r="G54" s="15" t="s">
        <v>3</v>
      </c>
      <c r="H54" s="15" t="s">
        <v>52</v>
      </c>
      <c r="I54" s="62" t="str">
        <f>H56</f>
        <v>T8</v>
      </c>
      <c r="J54" s="62"/>
    </row>
    <row r="55" spans="1:10" x14ac:dyDescent="0.3">
      <c r="A55" s="73" t="s">
        <v>23</v>
      </c>
      <c r="B55" s="74"/>
      <c r="C55" s="62" t="s">
        <v>16</v>
      </c>
      <c r="D55" s="62" t="s">
        <v>2</v>
      </c>
      <c r="E55" s="62"/>
      <c r="F55" s="23" t="s">
        <v>79</v>
      </c>
      <c r="G55" s="23" t="s">
        <v>3</v>
      </c>
      <c r="H55" s="23" t="s">
        <v>84</v>
      </c>
      <c r="I55" s="62" t="str">
        <f>H52</f>
        <v>G4</v>
      </c>
      <c r="J55" s="62" t="str">
        <f t="shared" ref="J55:J57" si="11">H55</f>
        <v>G6</v>
      </c>
    </row>
    <row r="56" spans="1:10" x14ac:dyDescent="0.3">
      <c r="A56" s="73" t="s">
        <v>23</v>
      </c>
      <c r="B56" s="74"/>
      <c r="C56" s="62" t="s">
        <v>17</v>
      </c>
      <c r="D56" s="62" t="s">
        <v>0</v>
      </c>
      <c r="E56" s="62"/>
      <c r="F56" s="15" t="s">
        <v>50</v>
      </c>
      <c r="G56" s="15" t="s">
        <v>3</v>
      </c>
      <c r="H56" s="15" t="s">
        <v>67</v>
      </c>
      <c r="I56" s="62" t="str">
        <f>F54</f>
        <v>T1</v>
      </c>
      <c r="J56" s="62" t="str">
        <f>F56</f>
        <v>T2</v>
      </c>
    </row>
    <row r="57" spans="1:10" x14ac:dyDescent="0.3">
      <c r="A57" s="73" t="s">
        <v>23</v>
      </c>
      <c r="B57" s="74"/>
      <c r="C57" s="62" t="s">
        <v>17</v>
      </c>
      <c r="D57" s="62" t="s">
        <v>1</v>
      </c>
      <c r="E57" s="62"/>
      <c r="F57" s="23" t="s">
        <v>80</v>
      </c>
      <c r="G57" s="23" t="s">
        <v>3</v>
      </c>
      <c r="H57" s="23" t="s">
        <v>86</v>
      </c>
      <c r="I57" s="62" t="str">
        <f>H54</f>
        <v>T4</v>
      </c>
      <c r="J57" s="62" t="str">
        <f t="shared" si="11"/>
        <v>G8</v>
      </c>
    </row>
    <row r="58" spans="1:10" x14ac:dyDescent="0.3">
      <c r="A58" s="73" t="s">
        <v>24</v>
      </c>
      <c r="B58" s="73"/>
      <c r="C58" s="62" t="s">
        <v>15</v>
      </c>
      <c r="D58" s="62" t="s">
        <v>0</v>
      </c>
      <c r="E58" s="62" t="str">
        <f>F58</f>
        <v>T2</v>
      </c>
      <c r="F58" s="15" t="s">
        <v>50</v>
      </c>
      <c r="G58" s="15" t="s">
        <v>3</v>
      </c>
      <c r="H58" s="15" t="s">
        <v>57</v>
      </c>
      <c r="I58" s="62" t="str">
        <f>F61</f>
        <v>T1</v>
      </c>
      <c r="J58" s="62"/>
    </row>
    <row r="59" spans="1:10" x14ac:dyDescent="0.3">
      <c r="A59" s="73" t="s">
        <v>24</v>
      </c>
      <c r="B59" s="74"/>
      <c r="C59" s="62" t="s">
        <v>15</v>
      </c>
      <c r="D59" s="62" t="s">
        <v>1</v>
      </c>
      <c r="E59" s="62" t="str">
        <f t="shared" ref="E59:E60" si="12">F59</f>
        <v>G1</v>
      </c>
      <c r="F59" s="23" t="s">
        <v>79</v>
      </c>
      <c r="G59" s="23" t="s">
        <v>3</v>
      </c>
      <c r="H59" s="23" t="s">
        <v>83</v>
      </c>
      <c r="I59" s="62" t="str">
        <f>F62</f>
        <v>G7</v>
      </c>
      <c r="J59" s="62"/>
    </row>
    <row r="60" spans="1:10" x14ac:dyDescent="0.3">
      <c r="A60" s="73" t="s">
        <v>24</v>
      </c>
      <c r="B60" s="73"/>
      <c r="C60" s="62" t="s">
        <v>15</v>
      </c>
      <c r="D60" s="62" t="s">
        <v>2</v>
      </c>
      <c r="E60" s="62" t="str">
        <f t="shared" si="12"/>
        <v>G2</v>
      </c>
      <c r="F60" s="23" t="s">
        <v>80</v>
      </c>
      <c r="G60" s="23" t="s">
        <v>3</v>
      </c>
      <c r="H60" s="23" t="s">
        <v>84</v>
      </c>
      <c r="I60" s="62" t="str">
        <f>H62</f>
        <v>G3</v>
      </c>
      <c r="J60" s="62"/>
    </row>
    <row r="61" spans="1:10" x14ac:dyDescent="0.3">
      <c r="A61" s="73" t="s">
        <v>24</v>
      </c>
      <c r="B61" s="74"/>
      <c r="C61" s="62" t="s">
        <v>16</v>
      </c>
      <c r="D61" s="62" t="s">
        <v>0</v>
      </c>
      <c r="E61" s="62"/>
      <c r="F61" s="15" t="s">
        <v>49</v>
      </c>
      <c r="G61" s="15" t="s">
        <v>3</v>
      </c>
      <c r="H61" s="15" t="s">
        <v>56</v>
      </c>
      <c r="I61" s="62" t="str">
        <f>H58</f>
        <v>T6</v>
      </c>
      <c r="J61" s="62"/>
    </row>
    <row r="62" spans="1:10" x14ac:dyDescent="0.3">
      <c r="A62" s="73" t="s">
        <v>24</v>
      </c>
      <c r="B62" s="74"/>
      <c r="C62" s="62" t="s">
        <v>16</v>
      </c>
      <c r="D62" s="62" t="s">
        <v>1</v>
      </c>
      <c r="E62" s="62"/>
      <c r="F62" s="23" t="s">
        <v>85</v>
      </c>
      <c r="G62" s="23" t="s">
        <v>3</v>
      </c>
      <c r="H62" s="23" t="s">
        <v>81</v>
      </c>
      <c r="I62" s="62" t="str">
        <f>H59</f>
        <v>G5</v>
      </c>
      <c r="J62" s="62"/>
    </row>
    <row r="63" spans="1:10" x14ac:dyDescent="0.3">
      <c r="A63" s="73" t="s">
        <v>24</v>
      </c>
      <c r="B63" s="74"/>
      <c r="C63" s="62" t="s">
        <v>16</v>
      </c>
      <c r="D63" s="62" t="s">
        <v>2</v>
      </c>
      <c r="E63" s="62"/>
      <c r="F63" s="15" t="s">
        <v>52</v>
      </c>
      <c r="G63" s="15" t="s">
        <v>3</v>
      </c>
      <c r="H63" s="15" t="s">
        <v>67</v>
      </c>
      <c r="I63" s="62" t="str">
        <f>F64</f>
        <v>T7</v>
      </c>
      <c r="J63" s="62" t="str">
        <f>F63</f>
        <v>T4</v>
      </c>
    </row>
    <row r="64" spans="1:10" x14ac:dyDescent="0.3">
      <c r="A64" s="73" t="s">
        <v>24</v>
      </c>
      <c r="B64" s="74"/>
      <c r="C64" s="62" t="s">
        <v>17</v>
      </c>
      <c r="D64" s="62" t="s">
        <v>0</v>
      </c>
      <c r="E64" s="62"/>
      <c r="F64" s="15" t="s">
        <v>68</v>
      </c>
      <c r="G64" s="15" t="s">
        <v>3</v>
      </c>
      <c r="H64" s="15" t="s">
        <v>51</v>
      </c>
      <c r="I64" s="62" t="str">
        <f>F63</f>
        <v>T4</v>
      </c>
      <c r="J64" s="62" t="str">
        <f>H64</f>
        <v>T3</v>
      </c>
    </row>
    <row r="65" spans="1:10" x14ac:dyDescent="0.3">
      <c r="A65" s="73" t="s">
        <v>24</v>
      </c>
      <c r="B65" s="74"/>
      <c r="C65" s="62" t="s">
        <v>17</v>
      </c>
      <c r="D65" s="62" t="s">
        <v>1</v>
      </c>
      <c r="E65" s="62"/>
      <c r="F65" s="23" t="s">
        <v>82</v>
      </c>
      <c r="G65" s="23" t="s">
        <v>3</v>
      </c>
      <c r="H65" s="23" t="s">
        <v>86</v>
      </c>
      <c r="I65" s="62" t="str">
        <f>H63</f>
        <v>T8</v>
      </c>
      <c r="J65" s="62" t="str">
        <f>F65</f>
        <v>G4</v>
      </c>
    </row>
    <row r="66" spans="1:10" x14ac:dyDescent="0.3">
      <c r="A66" s="73" t="s">
        <v>26</v>
      </c>
      <c r="B66" s="73"/>
      <c r="C66" s="64" t="s">
        <v>15</v>
      </c>
      <c r="D66" s="62" t="s">
        <v>0</v>
      </c>
      <c r="E66" s="62" t="str">
        <f t="shared" ref="E66:E84" si="13">F66</f>
        <v>T4</v>
      </c>
      <c r="F66" s="15" t="s">
        <v>52</v>
      </c>
      <c r="G66" s="15" t="s">
        <v>3</v>
      </c>
      <c r="H66" s="15" t="s">
        <v>50</v>
      </c>
      <c r="I66" s="62" t="str">
        <f>F69</f>
        <v>T5</v>
      </c>
      <c r="J66" s="62"/>
    </row>
    <row r="67" spans="1:10" x14ac:dyDescent="0.3">
      <c r="A67" s="73" t="s">
        <v>26</v>
      </c>
      <c r="B67" s="74"/>
      <c r="C67" s="64" t="s">
        <v>15</v>
      </c>
      <c r="D67" s="62" t="s">
        <v>1</v>
      </c>
      <c r="E67" s="62" t="str">
        <f t="shared" si="13"/>
        <v>T6</v>
      </c>
      <c r="F67" s="15" t="s">
        <v>57</v>
      </c>
      <c r="G67" s="15" t="s">
        <v>3</v>
      </c>
      <c r="H67" s="15" t="s">
        <v>51</v>
      </c>
      <c r="I67" s="62" t="str">
        <f>H69</f>
        <v>T8</v>
      </c>
      <c r="J67" s="62"/>
    </row>
    <row r="68" spans="1:10" x14ac:dyDescent="0.3">
      <c r="A68" s="73" t="s">
        <v>26</v>
      </c>
      <c r="B68" s="73"/>
      <c r="C68" s="64" t="s">
        <v>15</v>
      </c>
      <c r="D68" s="62" t="s">
        <v>2</v>
      </c>
      <c r="E68" s="62" t="str">
        <f t="shared" si="13"/>
        <v>G4</v>
      </c>
      <c r="F68" s="23" t="s">
        <v>82</v>
      </c>
      <c r="G68" s="23" t="s">
        <v>3</v>
      </c>
      <c r="H68" s="23" t="s">
        <v>80</v>
      </c>
      <c r="I68" s="62" t="str">
        <f>H71</f>
        <v>G6</v>
      </c>
      <c r="J68" s="62"/>
    </row>
    <row r="69" spans="1:10" x14ac:dyDescent="0.3">
      <c r="A69" s="73" t="s">
        <v>26</v>
      </c>
      <c r="B69" s="74"/>
      <c r="C69" s="62" t="s">
        <v>16</v>
      </c>
      <c r="D69" s="62" t="s">
        <v>0</v>
      </c>
      <c r="E69" s="62"/>
      <c r="F69" s="15" t="s">
        <v>56</v>
      </c>
      <c r="G69" s="15" t="s">
        <v>3</v>
      </c>
      <c r="H69" s="15" t="s">
        <v>67</v>
      </c>
      <c r="I69" s="62" t="str">
        <f>H66</f>
        <v>T2</v>
      </c>
      <c r="J69" s="62"/>
    </row>
    <row r="70" spans="1:10" x14ac:dyDescent="0.3">
      <c r="A70" s="73" t="s">
        <v>26</v>
      </c>
      <c r="B70" s="73"/>
      <c r="C70" s="62" t="s">
        <v>16</v>
      </c>
      <c r="D70" s="62" t="s">
        <v>1</v>
      </c>
      <c r="E70" s="62"/>
      <c r="F70" s="15" t="s">
        <v>49</v>
      </c>
      <c r="G70" s="15" t="s">
        <v>3</v>
      </c>
      <c r="H70" s="15" t="s">
        <v>68</v>
      </c>
      <c r="I70" s="62" t="str">
        <f>H67</f>
        <v>T3</v>
      </c>
      <c r="J70" s="62"/>
    </row>
    <row r="71" spans="1:10" x14ac:dyDescent="0.3">
      <c r="A71" s="73" t="s">
        <v>26</v>
      </c>
      <c r="B71" s="74"/>
      <c r="C71" s="62" t="s">
        <v>16</v>
      </c>
      <c r="D71" s="62" t="s">
        <v>2</v>
      </c>
      <c r="E71" s="62"/>
      <c r="F71" s="23" t="s">
        <v>81</v>
      </c>
      <c r="G71" s="23" t="s">
        <v>3</v>
      </c>
      <c r="H71" s="23" t="s">
        <v>84</v>
      </c>
      <c r="I71" s="62" t="str">
        <f>H68</f>
        <v>G2</v>
      </c>
      <c r="J71" s="62" t="str">
        <f>F71</f>
        <v>G3</v>
      </c>
    </row>
    <row r="72" spans="1:10" x14ac:dyDescent="0.3">
      <c r="A72" s="73" t="s">
        <v>26</v>
      </c>
      <c r="B72" s="74"/>
      <c r="C72" s="62" t="s">
        <v>17</v>
      </c>
      <c r="D72" s="62" t="s">
        <v>0</v>
      </c>
      <c r="E72" s="62"/>
      <c r="F72" s="23" t="s">
        <v>83</v>
      </c>
      <c r="G72" s="23" t="s">
        <v>3</v>
      </c>
      <c r="H72" s="23" t="s">
        <v>86</v>
      </c>
      <c r="I72" s="62" t="str">
        <f>F70</f>
        <v>T1</v>
      </c>
      <c r="J72" s="62" t="str">
        <f>F72</f>
        <v>G5</v>
      </c>
    </row>
    <row r="73" spans="1:10" x14ac:dyDescent="0.3">
      <c r="A73" s="73" t="s">
        <v>26</v>
      </c>
      <c r="B73" s="74"/>
      <c r="C73" s="62" t="s">
        <v>17</v>
      </c>
      <c r="D73" s="62" t="s">
        <v>1</v>
      </c>
      <c r="E73" s="62"/>
      <c r="F73" s="23" t="s">
        <v>79</v>
      </c>
      <c r="G73" s="23" t="s">
        <v>3</v>
      </c>
      <c r="H73" s="23" t="s">
        <v>85</v>
      </c>
      <c r="I73" s="62" t="str">
        <f>H70</f>
        <v>T7</v>
      </c>
      <c r="J73" s="62" t="str">
        <f>F73</f>
        <v>G1</v>
      </c>
    </row>
    <row r="74" spans="1:10" x14ac:dyDescent="0.3">
      <c r="A74" s="73" t="s">
        <v>27</v>
      </c>
      <c r="B74" s="73"/>
      <c r="C74" s="64" t="s">
        <v>15</v>
      </c>
      <c r="D74" s="62" t="s">
        <v>0</v>
      </c>
      <c r="E74" s="62" t="str">
        <f t="shared" ref="E74" si="14">F74</f>
        <v>G6</v>
      </c>
      <c r="F74" s="23" t="s">
        <v>84</v>
      </c>
      <c r="G74" s="23" t="s">
        <v>3</v>
      </c>
      <c r="H74" s="23" t="s">
        <v>79</v>
      </c>
      <c r="I74" s="62" t="str">
        <f>F79</f>
        <v>G2</v>
      </c>
      <c r="J74" s="62"/>
    </row>
    <row r="75" spans="1:10" x14ac:dyDescent="0.3">
      <c r="A75" s="73" t="s">
        <v>27</v>
      </c>
      <c r="B75" s="74"/>
      <c r="C75" s="64" t="s">
        <v>15</v>
      </c>
      <c r="D75" s="62" t="s">
        <v>1</v>
      </c>
      <c r="E75" s="62" t="str">
        <f t="shared" si="13"/>
        <v>G4</v>
      </c>
      <c r="F75" s="23" t="s">
        <v>82</v>
      </c>
      <c r="G75" s="23" t="s">
        <v>3</v>
      </c>
      <c r="H75" s="23" t="s">
        <v>83</v>
      </c>
      <c r="I75" s="62" t="str">
        <f>H79</f>
        <v>G3</v>
      </c>
      <c r="J75" s="62"/>
    </row>
    <row r="76" spans="1:10" x14ac:dyDescent="0.3">
      <c r="A76" s="73" t="s">
        <v>27</v>
      </c>
      <c r="B76" s="73"/>
      <c r="C76" s="64" t="s">
        <v>15</v>
      </c>
      <c r="D76" s="62" t="s">
        <v>2</v>
      </c>
      <c r="E76" s="62" t="str">
        <f t="shared" si="13"/>
        <v>G8</v>
      </c>
      <c r="F76" s="23" t="s">
        <v>86</v>
      </c>
      <c r="G76" s="23" t="s">
        <v>3</v>
      </c>
      <c r="H76" s="23" t="s">
        <v>85</v>
      </c>
      <c r="I76" s="62" t="str">
        <f>H77</f>
        <v>T7</v>
      </c>
      <c r="J76" s="62"/>
    </row>
    <row r="77" spans="1:10" x14ac:dyDescent="0.3">
      <c r="A77" s="73" t="s">
        <v>27</v>
      </c>
      <c r="B77" s="74"/>
      <c r="C77" s="62" t="s">
        <v>16</v>
      </c>
      <c r="D77" s="62" t="s">
        <v>0</v>
      </c>
      <c r="E77" s="62"/>
      <c r="F77" s="15" t="s">
        <v>67</v>
      </c>
      <c r="G77" s="15" t="s">
        <v>3</v>
      </c>
      <c r="H77" s="15" t="s">
        <v>68</v>
      </c>
      <c r="I77" s="62" t="str">
        <f>F81</f>
        <v>T3</v>
      </c>
      <c r="J77" s="62"/>
    </row>
    <row r="78" spans="1:10" x14ac:dyDescent="0.3">
      <c r="A78" s="73" t="s">
        <v>27</v>
      </c>
      <c r="B78" s="73"/>
      <c r="C78" s="62" t="s">
        <v>16</v>
      </c>
      <c r="D78" s="62" t="s">
        <v>1</v>
      </c>
      <c r="E78" s="62"/>
      <c r="F78" s="15" t="s">
        <v>52</v>
      </c>
      <c r="G78" s="15" t="s">
        <v>3</v>
      </c>
      <c r="H78" s="15" t="s">
        <v>56</v>
      </c>
      <c r="I78" s="62" t="str">
        <f>H81</f>
        <v>T2</v>
      </c>
      <c r="J78" s="62"/>
    </row>
    <row r="79" spans="1:10" x14ac:dyDescent="0.3">
      <c r="A79" s="73" t="s">
        <v>27</v>
      </c>
      <c r="B79" s="74"/>
      <c r="C79" s="62" t="s">
        <v>16</v>
      </c>
      <c r="D79" s="62" t="s">
        <v>2</v>
      </c>
      <c r="E79" s="62"/>
      <c r="F79" s="23" t="s">
        <v>80</v>
      </c>
      <c r="G79" s="23" t="s">
        <v>3</v>
      </c>
      <c r="H79" s="23" t="s">
        <v>81</v>
      </c>
      <c r="I79" s="62" t="str">
        <f>H76</f>
        <v>G7</v>
      </c>
      <c r="J79" s="62" t="str">
        <f t="shared" ref="J79:J80" si="15">H79</f>
        <v>G3</v>
      </c>
    </row>
    <row r="80" spans="1:10" x14ac:dyDescent="0.3">
      <c r="A80" s="73" t="s">
        <v>27</v>
      </c>
      <c r="B80" s="74"/>
      <c r="C80" s="62" t="s">
        <v>17</v>
      </c>
      <c r="D80" s="62" t="s">
        <v>0</v>
      </c>
      <c r="E80" s="62"/>
      <c r="F80" s="15" t="s">
        <v>49</v>
      </c>
      <c r="G80" s="15" t="s">
        <v>3</v>
      </c>
      <c r="H80" s="15" t="s">
        <v>57</v>
      </c>
      <c r="I80" s="62" t="str">
        <f>F78</f>
        <v>T4</v>
      </c>
      <c r="J80" s="62" t="str">
        <f t="shared" si="15"/>
        <v>T6</v>
      </c>
    </row>
    <row r="81" spans="1:10" x14ac:dyDescent="0.3">
      <c r="A81" s="73" t="s">
        <v>27</v>
      </c>
      <c r="B81" s="74"/>
      <c r="C81" s="62" t="s">
        <v>17</v>
      </c>
      <c r="D81" s="62" t="s">
        <v>1</v>
      </c>
      <c r="E81" s="62"/>
      <c r="F81" s="15" t="s">
        <v>51</v>
      </c>
      <c r="G81" s="15" t="s">
        <v>3</v>
      </c>
      <c r="H81" s="15" t="s">
        <v>50</v>
      </c>
      <c r="I81" s="62" t="str">
        <f>H78</f>
        <v>T5</v>
      </c>
      <c r="J81" s="62" t="str">
        <f>F81</f>
        <v>T3</v>
      </c>
    </row>
    <row r="82" spans="1:10" x14ac:dyDescent="0.3">
      <c r="A82" s="73" t="s">
        <v>28</v>
      </c>
      <c r="B82" s="73"/>
      <c r="C82" s="64" t="s">
        <v>15</v>
      </c>
      <c r="D82" s="62" t="s">
        <v>0</v>
      </c>
      <c r="E82" s="62" t="str">
        <f t="shared" ref="E82" si="16">F82</f>
        <v>T1</v>
      </c>
      <c r="F82" s="15" t="s">
        <v>49</v>
      </c>
      <c r="G82" s="15" t="s">
        <v>3</v>
      </c>
      <c r="H82" s="15" t="s">
        <v>51</v>
      </c>
      <c r="I82" s="62" t="str">
        <f>F85</f>
        <v>T8</v>
      </c>
      <c r="J82" s="62"/>
    </row>
    <row r="83" spans="1:10" x14ac:dyDescent="0.3">
      <c r="A83" s="73" t="s">
        <v>28</v>
      </c>
      <c r="B83" s="74"/>
      <c r="C83" s="64" t="s">
        <v>15</v>
      </c>
      <c r="D83" s="62" t="s">
        <v>1</v>
      </c>
      <c r="E83" s="62" t="str">
        <f t="shared" si="13"/>
        <v>T7</v>
      </c>
      <c r="F83" s="15" t="s">
        <v>68</v>
      </c>
      <c r="G83" s="15" t="s">
        <v>3</v>
      </c>
      <c r="H83" s="15" t="s">
        <v>52</v>
      </c>
      <c r="I83" s="62" t="str">
        <f>H85</f>
        <v>T6</v>
      </c>
      <c r="J83" s="62"/>
    </row>
    <row r="84" spans="1:10" x14ac:dyDescent="0.3">
      <c r="A84" s="73" t="s">
        <v>28</v>
      </c>
      <c r="B84" s="73"/>
      <c r="C84" s="64" t="s">
        <v>15</v>
      </c>
      <c r="D84" s="62" t="s">
        <v>2</v>
      </c>
      <c r="E84" s="62" t="str">
        <f t="shared" si="13"/>
        <v>G3</v>
      </c>
      <c r="F84" s="23" t="s">
        <v>81</v>
      </c>
      <c r="G84" s="23" t="s">
        <v>3</v>
      </c>
      <c r="H84" s="23" t="s">
        <v>79</v>
      </c>
      <c r="I84" s="62" t="str">
        <f>F86</f>
        <v>G7</v>
      </c>
      <c r="J84" s="62"/>
    </row>
    <row r="85" spans="1:10" x14ac:dyDescent="0.3">
      <c r="A85" s="73" t="s">
        <v>28</v>
      </c>
      <c r="B85" s="74"/>
      <c r="C85" s="62" t="s">
        <v>16</v>
      </c>
      <c r="D85" s="62" t="s">
        <v>0</v>
      </c>
      <c r="E85" s="62"/>
      <c r="F85" s="15" t="s">
        <v>67</v>
      </c>
      <c r="G85" s="15" t="s">
        <v>3</v>
      </c>
      <c r="H85" s="15" t="s">
        <v>57</v>
      </c>
      <c r="I85" s="62" t="str">
        <f>F88</f>
        <v>T5</v>
      </c>
      <c r="J85" s="62"/>
    </row>
    <row r="86" spans="1:10" x14ac:dyDescent="0.3">
      <c r="A86" s="73" t="s">
        <v>28</v>
      </c>
      <c r="B86" s="73"/>
      <c r="C86" s="62" t="s">
        <v>16</v>
      </c>
      <c r="D86" s="62" t="s">
        <v>1</v>
      </c>
      <c r="E86" s="62"/>
      <c r="F86" s="23" t="s">
        <v>85</v>
      </c>
      <c r="G86" s="23" t="s">
        <v>3</v>
      </c>
      <c r="H86" s="23" t="s">
        <v>82</v>
      </c>
      <c r="I86" s="62" t="str">
        <f>H84</f>
        <v>G1</v>
      </c>
      <c r="J86" s="62"/>
    </row>
    <row r="87" spans="1:10" x14ac:dyDescent="0.3">
      <c r="A87" s="73" t="s">
        <v>28</v>
      </c>
      <c r="B87" s="74"/>
      <c r="C87" s="62" t="s">
        <v>16</v>
      </c>
      <c r="D87" s="62" t="s">
        <v>2</v>
      </c>
      <c r="E87" s="62"/>
      <c r="F87" s="23" t="s">
        <v>86</v>
      </c>
      <c r="G87" s="23" t="s">
        <v>3</v>
      </c>
      <c r="H87" s="23" t="s">
        <v>84</v>
      </c>
      <c r="I87" s="62" t="str">
        <f>H83</f>
        <v>T4</v>
      </c>
      <c r="J87" s="62" t="str">
        <f t="shared" ref="J87" si="17">H87</f>
        <v>G6</v>
      </c>
    </row>
    <row r="88" spans="1:10" x14ac:dyDescent="0.3">
      <c r="A88" s="73" t="s">
        <v>28</v>
      </c>
      <c r="B88" s="74"/>
      <c r="C88" s="64" t="s">
        <v>17</v>
      </c>
      <c r="D88" s="62" t="s">
        <v>0</v>
      </c>
      <c r="E88" s="62"/>
      <c r="F88" s="15" t="s">
        <v>56</v>
      </c>
      <c r="G88" s="15" t="s">
        <v>3</v>
      </c>
      <c r="H88" s="15" t="s">
        <v>50</v>
      </c>
      <c r="I88" s="62" t="str">
        <f>F87</f>
        <v>G8</v>
      </c>
      <c r="J88" s="62" t="str">
        <f>F88</f>
        <v>T5</v>
      </c>
    </row>
    <row r="89" spans="1:10" x14ac:dyDescent="0.3">
      <c r="A89" s="73" t="s">
        <v>28</v>
      </c>
      <c r="B89" s="74"/>
      <c r="C89" s="64" t="s">
        <v>17</v>
      </c>
      <c r="D89" s="62" t="s">
        <v>1</v>
      </c>
      <c r="E89" s="62"/>
      <c r="F89" s="23" t="s">
        <v>83</v>
      </c>
      <c r="G89" s="23" t="s">
        <v>3</v>
      </c>
      <c r="H89" s="23" t="s">
        <v>80</v>
      </c>
      <c r="I89" s="62" t="str">
        <f>H86</f>
        <v>G4</v>
      </c>
      <c r="J89" s="62" t="str">
        <f t="shared" ref="J89" si="18">H89</f>
        <v>G2</v>
      </c>
    </row>
    <row r="90" spans="1:10" x14ac:dyDescent="0.3">
      <c r="A90" s="73" t="s">
        <v>29</v>
      </c>
      <c r="B90" s="73"/>
      <c r="C90" s="62" t="s">
        <v>15</v>
      </c>
      <c r="D90" s="62" t="s">
        <v>0</v>
      </c>
      <c r="E90" s="62" t="str">
        <f t="shared" ref="E90:E91" si="19">F90</f>
        <v>G4</v>
      </c>
      <c r="F90" s="23" t="s">
        <v>82</v>
      </c>
      <c r="G90" s="23" t="s">
        <v>3</v>
      </c>
      <c r="H90" s="23" t="s">
        <v>84</v>
      </c>
      <c r="I90" s="62" t="str">
        <f>F95</f>
        <v>G7</v>
      </c>
      <c r="J90" s="62"/>
    </row>
    <row r="91" spans="1:10" x14ac:dyDescent="0.3">
      <c r="A91" s="73" t="s">
        <v>29</v>
      </c>
      <c r="B91" s="74"/>
      <c r="C91" s="62" t="s">
        <v>15</v>
      </c>
      <c r="D91" s="62" t="s">
        <v>1</v>
      </c>
      <c r="E91" s="62" t="str">
        <f t="shared" si="19"/>
        <v>G2</v>
      </c>
      <c r="F91" s="23" t="s">
        <v>80</v>
      </c>
      <c r="G91" s="23" t="s">
        <v>3</v>
      </c>
      <c r="H91" s="23" t="s">
        <v>79</v>
      </c>
      <c r="I91" s="62" t="str">
        <f>H95</f>
        <v>G5</v>
      </c>
      <c r="J91" s="62"/>
    </row>
    <row r="92" spans="1:10" x14ac:dyDescent="0.3">
      <c r="A92" s="73" t="s">
        <v>29</v>
      </c>
      <c r="B92" s="73"/>
      <c r="C92" s="62" t="s">
        <v>15</v>
      </c>
      <c r="D92" s="62" t="s">
        <v>2</v>
      </c>
      <c r="E92" s="62" t="str">
        <f>H92</f>
        <v>G8</v>
      </c>
      <c r="F92" s="23" t="s">
        <v>81</v>
      </c>
      <c r="G92" s="23" t="s">
        <v>3</v>
      </c>
      <c r="H92" s="23" t="s">
        <v>86</v>
      </c>
      <c r="I92" s="62" t="str">
        <f>F93</f>
        <v>T2</v>
      </c>
      <c r="J92" s="62"/>
    </row>
    <row r="93" spans="1:10" x14ac:dyDescent="0.3">
      <c r="A93" s="73" t="s">
        <v>29</v>
      </c>
      <c r="B93" s="74"/>
      <c r="C93" s="62" t="s">
        <v>16</v>
      </c>
      <c r="D93" s="62" t="s">
        <v>0</v>
      </c>
      <c r="E93" s="62"/>
      <c r="F93" s="15" t="s">
        <v>50</v>
      </c>
      <c r="G93" s="15" t="s">
        <v>3</v>
      </c>
      <c r="H93" s="15" t="s">
        <v>49</v>
      </c>
      <c r="I93" s="62" t="str">
        <f>F96</f>
        <v>T5</v>
      </c>
      <c r="J93" s="62"/>
    </row>
    <row r="94" spans="1:10" x14ac:dyDescent="0.3">
      <c r="A94" s="73" t="s">
        <v>29</v>
      </c>
      <c r="B94" s="73"/>
      <c r="C94" s="62" t="s">
        <v>16</v>
      </c>
      <c r="D94" s="62" t="s">
        <v>1</v>
      </c>
      <c r="E94" s="62"/>
      <c r="F94" s="15" t="s">
        <v>51</v>
      </c>
      <c r="G94" s="15" t="s">
        <v>3</v>
      </c>
      <c r="H94" s="15" t="s">
        <v>67</v>
      </c>
      <c r="I94" s="62" t="str">
        <f>F97</f>
        <v>T4</v>
      </c>
      <c r="J94" s="62"/>
    </row>
    <row r="95" spans="1:10" x14ac:dyDescent="0.3">
      <c r="A95" s="73" t="s">
        <v>29</v>
      </c>
      <c r="B95" s="74"/>
      <c r="C95" s="62" t="s">
        <v>16</v>
      </c>
      <c r="D95" s="62" t="s">
        <v>2</v>
      </c>
      <c r="E95" s="62"/>
      <c r="F95" s="23" t="s">
        <v>85</v>
      </c>
      <c r="G95" s="23" t="s">
        <v>3</v>
      </c>
      <c r="H95" s="23" t="s">
        <v>83</v>
      </c>
      <c r="I95" s="62" t="str">
        <f>H92</f>
        <v>G8</v>
      </c>
      <c r="J95" s="62" t="str">
        <f t="shared" ref="J95:J97" si="20">H95</f>
        <v>G5</v>
      </c>
    </row>
    <row r="96" spans="1:10" x14ac:dyDescent="0.3">
      <c r="A96" s="73" t="s">
        <v>29</v>
      </c>
      <c r="B96" s="74"/>
      <c r="C96" s="62" t="s">
        <v>17</v>
      </c>
      <c r="D96" s="62" t="s">
        <v>0</v>
      </c>
      <c r="E96" s="62"/>
      <c r="F96" s="15" t="s">
        <v>56</v>
      </c>
      <c r="G96" s="15" t="s">
        <v>3</v>
      </c>
      <c r="H96" s="15" t="s">
        <v>68</v>
      </c>
      <c r="I96" s="62" t="str">
        <f>H93</f>
        <v>T1</v>
      </c>
      <c r="J96" s="62" t="str">
        <f t="shared" si="20"/>
        <v>T7</v>
      </c>
    </row>
    <row r="97" spans="1:10" x14ac:dyDescent="0.3">
      <c r="A97" s="73" t="s">
        <v>29</v>
      </c>
      <c r="B97" s="74"/>
      <c r="C97" s="62" t="s">
        <v>17</v>
      </c>
      <c r="D97" s="62" t="s">
        <v>1</v>
      </c>
      <c r="E97" s="62"/>
      <c r="F97" s="15" t="s">
        <v>52</v>
      </c>
      <c r="G97" s="15" t="s">
        <v>3</v>
      </c>
      <c r="H97" s="15" t="s">
        <v>57</v>
      </c>
      <c r="I97" s="62" t="str">
        <f>H94</f>
        <v>T8</v>
      </c>
      <c r="J97" s="62" t="str">
        <f t="shared" si="20"/>
        <v>T6</v>
      </c>
    </row>
    <row r="98" spans="1:10" x14ac:dyDescent="0.3">
      <c r="A98" s="73" t="s">
        <v>30</v>
      </c>
      <c r="B98" s="73"/>
      <c r="C98" s="62" t="s">
        <v>15</v>
      </c>
      <c r="D98" s="62" t="s">
        <v>0</v>
      </c>
      <c r="E98" s="62" t="str">
        <f t="shared" ref="E98:E108" si="21">F98</f>
        <v>T7</v>
      </c>
      <c r="F98" s="15" t="s">
        <v>68</v>
      </c>
      <c r="G98" s="15" t="s">
        <v>3</v>
      </c>
      <c r="H98" s="15" t="s">
        <v>50</v>
      </c>
      <c r="I98" s="62" t="str">
        <f>F101</f>
        <v>T6</v>
      </c>
      <c r="J98" s="62"/>
    </row>
    <row r="99" spans="1:10" x14ac:dyDescent="0.3">
      <c r="A99" s="73" t="s">
        <v>30</v>
      </c>
      <c r="B99" s="74"/>
      <c r="C99" s="62" t="s">
        <v>15</v>
      </c>
      <c r="D99" s="62" t="s">
        <v>1</v>
      </c>
      <c r="E99" s="62" t="str">
        <f t="shared" si="21"/>
        <v>T8</v>
      </c>
      <c r="F99" s="15" t="s">
        <v>67</v>
      </c>
      <c r="G99" s="15" t="s">
        <v>3</v>
      </c>
      <c r="H99" s="15" t="s">
        <v>49</v>
      </c>
      <c r="I99" s="62" t="str">
        <f>F102</f>
        <v>T4</v>
      </c>
      <c r="J99" s="62"/>
    </row>
    <row r="100" spans="1:10" x14ac:dyDescent="0.3">
      <c r="A100" s="73" t="s">
        <v>30</v>
      </c>
      <c r="B100" s="73"/>
      <c r="C100" s="62" t="s">
        <v>15</v>
      </c>
      <c r="D100" s="62" t="s">
        <v>2</v>
      </c>
      <c r="E100" s="62" t="str">
        <f t="shared" si="21"/>
        <v>G7</v>
      </c>
      <c r="F100" s="23" t="s">
        <v>85</v>
      </c>
      <c r="G100" s="23" t="s">
        <v>3</v>
      </c>
      <c r="H100" s="23" t="s">
        <v>80</v>
      </c>
      <c r="I100" s="62" t="str">
        <f>F103</f>
        <v>G1</v>
      </c>
      <c r="J100" s="62"/>
    </row>
    <row r="101" spans="1:10" x14ac:dyDescent="0.3">
      <c r="A101" s="73" t="s">
        <v>30</v>
      </c>
      <c r="B101" s="74"/>
      <c r="C101" s="62" t="s">
        <v>16</v>
      </c>
      <c r="D101" s="62" t="s">
        <v>0</v>
      </c>
      <c r="E101" s="62"/>
      <c r="F101" s="15" t="s">
        <v>57</v>
      </c>
      <c r="G101" s="15" t="s">
        <v>3</v>
      </c>
      <c r="H101" s="15" t="s">
        <v>56</v>
      </c>
      <c r="I101" s="62" t="str">
        <f>H98</f>
        <v>T2</v>
      </c>
      <c r="J101" s="62"/>
    </row>
    <row r="102" spans="1:10" x14ac:dyDescent="0.3">
      <c r="A102" s="73" t="s">
        <v>30</v>
      </c>
      <c r="B102" s="73"/>
      <c r="C102" s="62" t="s">
        <v>16</v>
      </c>
      <c r="D102" s="62" t="s">
        <v>1</v>
      </c>
      <c r="E102" s="62"/>
      <c r="F102" s="15" t="s">
        <v>52</v>
      </c>
      <c r="G102" s="15" t="s">
        <v>3</v>
      </c>
      <c r="H102" s="15" t="s">
        <v>51</v>
      </c>
      <c r="I102" s="62" t="str">
        <f>H99</f>
        <v>T1</v>
      </c>
      <c r="J102" s="62"/>
    </row>
    <row r="103" spans="1:10" x14ac:dyDescent="0.3">
      <c r="A103" s="73" t="s">
        <v>30</v>
      </c>
      <c r="B103" s="74"/>
      <c r="C103" s="62" t="s">
        <v>16</v>
      </c>
      <c r="D103" s="62" t="s">
        <v>2</v>
      </c>
      <c r="E103" s="62"/>
      <c r="F103" s="23" t="s">
        <v>79</v>
      </c>
      <c r="G103" s="23" t="s">
        <v>3</v>
      </c>
      <c r="H103" s="23" t="s">
        <v>86</v>
      </c>
      <c r="I103" s="62" t="str">
        <f>H100</f>
        <v>G2</v>
      </c>
      <c r="J103" s="62" t="str">
        <f t="shared" ref="J103:J105" si="22">H103</f>
        <v>G8</v>
      </c>
    </row>
    <row r="104" spans="1:10" x14ac:dyDescent="0.3">
      <c r="A104" s="73" t="s">
        <v>30</v>
      </c>
      <c r="B104" s="74"/>
      <c r="C104" s="62" t="s">
        <v>17</v>
      </c>
      <c r="D104" s="62" t="s">
        <v>0</v>
      </c>
      <c r="E104" s="62"/>
      <c r="F104" s="23" t="s">
        <v>84</v>
      </c>
      <c r="G104" s="23" t="s">
        <v>3</v>
      </c>
      <c r="H104" s="23" t="s">
        <v>83</v>
      </c>
      <c r="I104" s="62" t="str">
        <f>H101</f>
        <v>T5</v>
      </c>
      <c r="J104" s="62" t="str">
        <f t="shared" si="22"/>
        <v>G5</v>
      </c>
    </row>
    <row r="105" spans="1:10" x14ac:dyDescent="0.3">
      <c r="A105" s="73" t="s">
        <v>30</v>
      </c>
      <c r="B105" s="74"/>
      <c r="C105" s="62" t="s">
        <v>17</v>
      </c>
      <c r="D105" s="62" t="s">
        <v>1</v>
      </c>
      <c r="E105" s="62"/>
      <c r="F105" s="23" t="s">
        <v>82</v>
      </c>
      <c r="G105" s="23" t="s">
        <v>3</v>
      </c>
      <c r="H105" s="23" t="s">
        <v>81</v>
      </c>
      <c r="I105" s="62" t="str">
        <f>H102</f>
        <v>T3</v>
      </c>
      <c r="J105" s="62" t="str">
        <f t="shared" si="22"/>
        <v>G3</v>
      </c>
    </row>
    <row r="106" spans="1:10" x14ac:dyDescent="0.3">
      <c r="A106" s="73" t="s">
        <v>31</v>
      </c>
      <c r="B106" s="73"/>
      <c r="C106" s="62" t="s">
        <v>15</v>
      </c>
      <c r="D106" s="62" t="s">
        <v>0</v>
      </c>
      <c r="E106" s="62" t="str">
        <f t="shared" ref="E106" si="23">F106</f>
        <v>T5</v>
      </c>
      <c r="F106" s="15" t="s">
        <v>56</v>
      </c>
      <c r="G106" s="15" t="s">
        <v>3</v>
      </c>
      <c r="H106" s="15" t="s">
        <v>51</v>
      </c>
      <c r="I106" s="62" t="str">
        <f>F109</f>
        <v>T7</v>
      </c>
      <c r="J106" s="62"/>
    </row>
    <row r="107" spans="1:10" x14ac:dyDescent="0.3">
      <c r="A107" s="73" t="s">
        <v>31</v>
      </c>
      <c r="B107" s="74"/>
      <c r="C107" s="62" t="s">
        <v>15</v>
      </c>
      <c r="D107" s="62" t="s">
        <v>1</v>
      </c>
      <c r="E107" s="62" t="str">
        <f t="shared" si="21"/>
        <v>G5</v>
      </c>
      <c r="F107" s="23" t="s">
        <v>83</v>
      </c>
      <c r="G107" s="23" t="s">
        <v>3</v>
      </c>
      <c r="H107" s="23" t="s">
        <v>81</v>
      </c>
      <c r="I107" s="62" t="str">
        <f>F111</f>
        <v>G1</v>
      </c>
      <c r="J107" s="62"/>
    </row>
    <row r="108" spans="1:10" x14ac:dyDescent="0.3">
      <c r="A108" s="73" t="s">
        <v>31</v>
      </c>
      <c r="B108" s="73"/>
      <c r="C108" s="62" t="s">
        <v>15</v>
      </c>
      <c r="D108" s="62" t="s">
        <v>2</v>
      </c>
      <c r="E108" s="62" t="str">
        <f t="shared" si="21"/>
        <v>G7</v>
      </c>
      <c r="F108" s="23" t="s">
        <v>85</v>
      </c>
      <c r="G108" s="23" t="s">
        <v>3</v>
      </c>
      <c r="H108" s="23" t="s">
        <v>82</v>
      </c>
      <c r="I108" s="62" t="str">
        <f>H111</f>
        <v>G6</v>
      </c>
      <c r="J108" s="62"/>
    </row>
    <row r="109" spans="1:10" x14ac:dyDescent="0.3">
      <c r="A109" s="73" t="s">
        <v>31</v>
      </c>
      <c r="B109" s="74"/>
      <c r="C109" s="62" t="s">
        <v>16</v>
      </c>
      <c r="D109" s="62" t="s">
        <v>0</v>
      </c>
      <c r="E109" s="62"/>
      <c r="F109" s="15" t="s">
        <v>68</v>
      </c>
      <c r="G109" s="15" t="s">
        <v>3</v>
      </c>
      <c r="H109" s="15" t="s">
        <v>57</v>
      </c>
      <c r="I109" s="62" t="str">
        <f>H106</f>
        <v>T3</v>
      </c>
      <c r="J109" s="62"/>
    </row>
    <row r="110" spans="1:10" x14ac:dyDescent="0.3">
      <c r="A110" s="73" t="s">
        <v>31</v>
      </c>
      <c r="B110" s="73"/>
      <c r="C110" s="62" t="s">
        <v>16</v>
      </c>
      <c r="D110" s="62" t="s">
        <v>1</v>
      </c>
      <c r="E110" s="62"/>
      <c r="F110" s="15" t="s">
        <v>49</v>
      </c>
      <c r="G110" s="15" t="s">
        <v>3</v>
      </c>
      <c r="H110" s="15" t="s">
        <v>52</v>
      </c>
      <c r="I110" s="62" t="str">
        <f>H112</f>
        <v>T8</v>
      </c>
      <c r="J110" s="62"/>
    </row>
    <row r="111" spans="1:10" x14ac:dyDescent="0.3">
      <c r="A111" s="73" t="s">
        <v>31</v>
      </c>
      <c r="B111" s="74"/>
      <c r="C111" s="62" t="s">
        <v>16</v>
      </c>
      <c r="D111" s="62" t="s">
        <v>2</v>
      </c>
      <c r="E111" s="62"/>
      <c r="F111" s="23" t="s">
        <v>79</v>
      </c>
      <c r="G111" s="23" t="s">
        <v>3</v>
      </c>
      <c r="H111" s="23" t="s">
        <v>84</v>
      </c>
      <c r="I111" s="62" t="str">
        <f>H108</f>
        <v>G4</v>
      </c>
      <c r="J111" s="62" t="str">
        <f t="shared" ref="J111" si="24">H111</f>
        <v>G6</v>
      </c>
    </row>
    <row r="112" spans="1:10" x14ac:dyDescent="0.3">
      <c r="A112" s="73" t="s">
        <v>31</v>
      </c>
      <c r="B112" s="74"/>
      <c r="C112" s="62" t="s">
        <v>17</v>
      </c>
      <c r="D112" s="62" t="s">
        <v>0</v>
      </c>
      <c r="E112" s="62"/>
      <c r="F112" s="15" t="s">
        <v>50</v>
      </c>
      <c r="G112" s="15" t="s">
        <v>3</v>
      </c>
      <c r="H112" s="15" t="s">
        <v>67</v>
      </c>
      <c r="I112" s="62" t="str">
        <f>F110</f>
        <v>T1</v>
      </c>
      <c r="J112" s="62" t="str">
        <f>F112</f>
        <v>T2</v>
      </c>
    </row>
    <row r="113" spans="1:10" x14ac:dyDescent="0.3">
      <c r="A113" s="73" t="s">
        <v>31</v>
      </c>
      <c r="B113" s="74"/>
      <c r="C113" s="62" t="s">
        <v>17</v>
      </c>
      <c r="D113" s="62" t="s">
        <v>1</v>
      </c>
      <c r="E113" s="62"/>
      <c r="F113" s="23" t="s">
        <v>80</v>
      </c>
      <c r="G113" s="23" t="s">
        <v>3</v>
      </c>
      <c r="H113" s="23" t="s">
        <v>86</v>
      </c>
      <c r="I113" s="62" t="str">
        <f>H109</f>
        <v>T6</v>
      </c>
      <c r="J113" s="62" t="str">
        <f t="shared" ref="J113" si="25">H113</f>
        <v>G8</v>
      </c>
    </row>
    <row r="117" spans="1:10" x14ac:dyDescent="0.3">
      <c r="A117" s="22" t="s">
        <v>89</v>
      </c>
      <c r="B117" s="22" t="s">
        <v>66</v>
      </c>
      <c r="D117" s="11" t="s">
        <v>134</v>
      </c>
      <c r="E117" s="11" t="s">
        <v>63</v>
      </c>
      <c r="F117" s="11" t="s">
        <v>10</v>
      </c>
      <c r="H117" s="11" t="s">
        <v>11</v>
      </c>
      <c r="I117" s="11" t="s">
        <v>64</v>
      </c>
      <c r="J117" s="11" t="s">
        <v>65</v>
      </c>
    </row>
    <row r="118" spans="1:10" x14ac:dyDescent="0.3">
      <c r="A118" s="11">
        <f>F118+H118</f>
        <v>14</v>
      </c>
      <c r="B118" s="11">
        <f>E118+J118+I118</f>
        <v>13</v>
      </c>
      <c r="D118" s="75" t="s">
        <v>49</v>
      </c>
      <c r="E118" s="11">
        <f t="shared" ref="E118:F125" si="26">COUNTIF(E$2:E$113,$D118)</f>
        <v>3</v>
      </c>
      <c r="F118" s="11">
        <f t="shared" si="26"/>
        <v>8</v>
      </c>
      <c r="H118" s="11">
        <f t="shared" ref="H118:J125" si="27">COUNTIF(H$2:H$113,$D118)</f>
        <v>6</v>
      </c>
      <c r="I118" s="11">
        <f t="shared" si="27"/>
        <v>9</v>
      </c>
      <c r="J118" s="11">
        <f t="shared" si="27"/>
        <v>1</v>
      </c>
    </row>
    <row r="119" spans="1:10" x14ac:dyDescent="0.3">
      <c r="A119" s="11">
        <f t="shared" ref="A119:A135" si="28">F119+H119</f>
        <v>14</v>
      </c>
      <c r="B119" s="11">
        <f t="shared" ref="B119:B135" si="29">E119+J119+I119</f>
        <v>13</v>
      </c>
      <c r="D119" s="75" t="s">
        <v>50</v>
      </c>
      <c r="E119" s="11">
        <f t="shared" si="26"/>
        <v>1</v>
      </c>
      <c r="F119" s="11">
        <f t="shared" si="26"/>
        <v>6</v>
      </c>
      <c r="H119" s="11">
        <f t="shared" si="27"/>
        <v>8</v>
      </c>
      <c r="I119" s="11">
        <f t="shared" si="27"/>
        <v>9</v>
      </c>
      <c r="J119" s="11">
        <f t="shared" si="27"/>
        <v>3</v>
      </c>
    </row>
    <row r="120" spans="1:10" x14ac:dyDescent="0.3">
      <c r="A120" s="11">
        <f t="shared" si="28"/>
        <v>14</v>
      </c>
      <c r="B120" s="11">
        <f t="shared" si="29"/>
        <v>13</v>
      </c>
      <c r="D120" s="75" t="s">
        <v>51</v>
      </c>
      <c r="E120" s="11">
        <f t="shared" si="26"/>
        <v>1</v>
      </c>
      <c r="F120" s="11">
        <f t="shared" si="26"/>
        <v>5</v>
      </c>
      <c r="H120" s="11">
        <f t="shared" si="27"/>
        <v>9</v>
      </c>
      <c r="I120" s="11">
        <f t="shared" si="27"/>
        <v>9</v>
      </c>
      <c r="J120" s="11">
        <f t="shared" si="27"/>
        <v>3</v>
      </c>
    </row>
    <row r="121" spans="1:10" x14ac:dyDescent="0.3">
      <c r="A121" s="11">
        <f t="shared" si="28"/>
        <v>14</v>
      </c>
      <c r="B121" s="11">
        <f t="shared" si="29"/>
        <v>14</v>
      </c>
      <c r="D121" s="75" t="s">
        <v>52</v>
      </c>
      <c r="E121" s="11">
        <f t="shared" si="26"/>
        <v>3</v>
      </c>
      <c r="F121" s="11">
        <f t="shared" si="26"/>
        <v>11</v>
      </c>
      <c r="H121" s="11">
        <f t="shared" si="27"/>
        <v>3</v>
      </c>
      <c r="I121" s="11">
        <f t="shared" si="27"/>
        <v>9</v>
      </c>
      <c r="J121" s="11">
        <f t="shared" si="27"/>
        <v>2</v>
      </c>
    </row>
    <row r="122" spans="1:10" x14ac:dyDescent="0.3">
      <c r="A122" s="11">
        <f t="shared" si="28"/>
        <v>14</v>
      </c>
      <c r="B122" s="11">
        <f t="shared" si="29"/>
        <v>13</v>
      </c>
      <c r="D122" s="75" t="s">
        <v>56</v>
      </c>
      <c r="E122" s="11">
        <f t="shared" si="26"/>
        <v>2</v>
      </c>
      <c r="F122" s="11">
        <f t="shared" si="26"/>
        <v>9</v>
      </c>
      <c r="H122" s="11">
        <f t="shared" si="27"/>
        <v>5</v>
      </c>
      <c r="I122" s="11">
        <f t="shared" si="27"/>
        <v>9</v>
      </c>
      <c r="J122" s="11">
        <f t="shared" si="27"/>
        <v>2</v>
      </c>
    </row>
    <row r="123" spans="1:10" x14ac:dyDescent="0.3">
      <c r="A123" s="11">
        <f t="shared" si="28"/>
        <v>14</v>
      </c>
      <c r="B123" s="11">
        <f t="shared" si="29"/>
        <v>12</v>
      </c>
      <c r="D123" s="75" t="s">
        <v>57</v>
      </c>
      <c r="E123" s="11">
        <f t="shared" si="26"/>
        <v>1</v>
      </c>
      <c r="F123" s="11">
        <f t="shared" si="26"/>
        <v>4</v>
      </c>
      <c r="H123" s="11">
        <f t="shared" si="27"/>
        <v>10</v>
      </c>
      <c r="I123" s="11">
        <f t="shared" si="27"/>
        <v>8</v>
      </c>
      <c r="J123" s="11">
        <f t="shared" si="27"/>
        <v>3</v>
      </c>
    </row>
    <row r="124" spans="1:10" x14ac:dyDescent="0.3">
      <c r="A124" s="11">
        <f t="shared" si="28"/>
        <v>14</v>
      </c>
      <c r="B124" s="11">
        <f t="shared" si="29"/>
        <v>13</v>
      </c>
      <c r="D124" s="75" t="s">
        <v>68</v>
      </c>
      <c r="E124" s="11">
        <f t="shared" si="26"/>
        <v>3</v>
      </c>
      <c r="F124" s="11">
        <f t="shared" si="26"/>
        <v>7</v>
      </c>
      <c r="H124" s="11">
        <f t="shared" si="27"/>
        <v>7</v>
      </c>
      <c r="I124" s="11">
        <f t="shared" si="27"/>
        <v>9</v>
      </c>
      <c r="J124" s="11">
        <f t="shared" si="27"/>
        <v>1</v>
      </c>
    </row>
    <row r="125" spans="1:10" x14ac:dyDescent="0.3">
      <c r="A125" s="11">
        <f t="shared" si="28"/>
        <v>14</v>
      </c>
      <c r="B125" s="11">
        <f t="shared" si="29"/>
        <v>13</v>
      </c>
      <c r="D125" s="75" t="s">
        <v>67</v>
      </c>
      <c r="E125" s="11">
        <f t="shared" si="26"/>
        <v>2</v>
      </c>
      <c r="F125" s="11">
        <f t="shared" si="26"/>
        <v>6</v>
      </c>
      <c r="H125" s="11">
        <f t="shared" si="27"/>
        <v>8</v>
      </c>
      <c r="I125" s="11">
        <f t="shared" si="27"/>
        <v>10</v>
      </c>
      <c r="J125" s="11">
        <f t="shared" si="27"/>
        <v>1</v>
      </c>
    </row>
    <row r="126" spans="1:10" x14ac:dyDescent="0.3">
      <c r="A126" s="11"/>
    </row>
    <row r="127" spans="1:10" x14ac:dyDescent="0.3">
      <c r="A127" s="11"/>
      <c r="E127" s="11" t="s">
        <v>63</v>
      </c>
      <c r="I127" s="11" t="s">
        <v>64</v>
      </c>
      <c r="J127" s="11" t="s">
        <v>65</v>
      </c>
    </row>
    <row r="128" spans="1:10" x14ac:dyDescent="0.3">
      <c r="A128" s="11">
        <f t="shared" si="28"/>
        <v>14</v>
      </c>
      <c r="B128" s="11">
        <f t="shared" si="29"/>
        <v>11</v>
      </c>
      <c r="D128" s="76" t="s">
        <v>79</v>
      </c>
      <c r="E128" s="11">
        <f t="shared" ref="E128:F135" si="30">COUNTIF(E$2:E$113,$D128)</f>
        <v>3</v>
      </c>
      <c r="F128" s="11">
        <f t="shared" si="30"/>
        <v>9</v>
      </c>
      <c r="H128" s="11">
        <f t="shared" ref="H128:J135" si="31">COUNTIF(H$2:H$113,$D128)</f>
        <v>5</v>
      </c>
      <c r="I128" s="11">
        <f t="shared" si="31"/>
        <v>6</v>
      </c>
      <c r="J128" s="11">
        <f t="shared" si="31"/>
        <v>2</v>
      </c>
    </row>
    <row r="129" spans="1:10" x14ac:dyDescent="0.3">
      <c r="A129" s="11">
        <f t="shared" si="28"/>
        <v>14</v>
      </c>
      <c r="B129" s="11">
        <f t="shared" si="29"/>
        <v>11</v>
      </c>
      <c r="D129" s="76" t="s">
        <v>80</v>
      </c>
      <c r="E129" s="11">
        <f t="shared" si="30"/>
        <v>4</v>
      </c>
      <c r="F129" s="11">
        <f t="shared" si="30"/>
        <v>7</v>
      </c>
      <c r="H129" s="11">
        <f t="shared" si="31"/>
        <v>7</v>
      </c>
      <c r="I129" s="11">
        <f t="shared" si="31"/>
        <v>5</v>
      </c>
      <c r="J129" s="11">
        <f t="shared" si="31"/>
        <v>2</v>
      </c>
    </row>
    <row r="130" spans="1:10" x14ac:dyDescent="0.3">
      <c r="A130" s="11">
        <f t="shared" si="28"/>
        <v>14</v>
      </c>
      <c r="B130" s="11">
        <f t="shared" si="29"/>
        <v>12</v>
      </c>
      <c r="D130" s="76" t="s">
        <v>81</v>
      </c>
      <c r="E130" s="11">
        <f t="shared" si="30"/>
        <v>2</v>
      </c>
      <c r="F130" s="11">
        <f t="shared" si="30"/>
        <v>6</v>
      </c>
      <c r="H130" s="11">
        <f t="shared" si="31"/>
        <v>8</v>
      </c>
      <c r="I130" s="11">
        <f t="shared" si="31"/>
        <v>5</v>
      </c>
      <c r="J130" s="11">
        <f t="shared" si="31"/>
        <v>5</v>
      </c>
    </row>
    <row r="131" spans="1:10" x14ac:dyDescent="0.3">
      <c r="A131" s="11">
        <f t="shared" si="28"/>
        <v>14</v>
      </c>
      <c r="B131" s="11">
        <f t="shared" si="29"/>
        <v>12</v>
      </c>
      <c r="D131" s="76" t="s">
        <v>82</v>
      </c>
      <c r="E131" s="11">
        <f t="shared" si="30"/>
        <v>6</v>
      </c>
      <c r="F131" s="11">
        <f t="shared" si="30"/>
        <v>10</v>
      </c>
      <c r="H131" s="11">
        <f t="shared" si="31"/>
        <v>4</v>
      </c>
      <c r="I131" s="11">
        <f t="shared" si="31"/>
        <v>4</v>
      </c>
      <c r="J131" s="11">
        <f t="shared" si="31"/>
        <v>2</v>
      </c>
    </row>
    <row r="132" spans="1:10" x14ac:dyDescent="0.3">
      <c r="A132" s="11">
        <f t="shared" si="28"/>
        <v>14</v>
      </c>
      <c r="B132" s="11">
        <f t="shared" si="29"/>
        <v>12</v>
      </c>
      <c r="D132" s="76" t="s">
        <v>83</v>
      </c>
      <c r="E132" s="11">
        <f t="shared" si="30"/>
        <v>3</v>
      </c>
      <c r="F132" s="11">
        <f t="shared" si="30"/>
        <v>6</v>
      </c>
      <c r="H132" s="11">
        <f t="shared" si="31"/>
        <v>8</v>
      </c>
      <c r="I132" s="11">
        <f t="shared" si="31"/>
        <v>4</v>
      </c>
      <c r="J132" s="11">
        <f t="shared" si="31"/>
        <v>5</v>
      </c>
    </row>
    <row r="133" spans="1:10" x14ac:dyDescent="0.3">
      <c r="A133" s="11">
        <f t="shared" si="28"/>
        <v>14</v>
      </c>
      <c r="B133" s="11">
        <f t="shared" si="29"/>
        <v>11</v>
      </c>
      <c r="D133" s="76" t="s">
        <v>84</v>
      </c>
      <c r="E133" s="11">
        <f t="shared" si="30"/>
        <v>2</v>
      </c>
      <c r="F133" s="11">
        <f t="shared" si="30"/>
        <v>4</v>
      </c>
      <c r="H133" s="11">
        <f t="shared" si="31"/>
        <v>10</v>
      </c>
      <c r="I133" s="11">
        <f t="shared" si="31"/>
        <v>5</v>
      </c>
      <c r="J133" s="11">
        <f t="shared" si="31"/>
        <v>4</v>
      </c>
    </row>
    <row r="134" spans="1:10" x14ac:dyDescent="0.3">
      <c r="A134" s="11">
        <f t="shared" si="28"/>
        <v>14</v>
      </c>
      <c r="B134" s="11">
        <f t="shared" si="29"/>
        <v>11</v>
      </c>
      <c r="D134" s="76" t="s">
        <v>85</v>
      </c>
      <c r="E134" s="11">
        <f t="shared" si="30"/>
        <v>4</v>
      </c>
      <c r="F134" s="11">
        <f t="shared" si="30"/>
        <v>10</v>
      </c>
      <c r="H134" s="11">
        <f t="shared" si="31"/>
        <v>4</v>
      </c>
      <c r="I134" s="11">
        <f t="shared" si="31"/>
        <v>6</v>
      </c>
      <c r="J134" s="11">
        <f t="shared" si="31"/>
        <v>1</v>
      </c>
    </row>
    <row r="135" spans="1:10" x14ac:dyDescent="0.3">
      <c r="A135" s="11">
        <f t="shared" si="28"/>
        <v>14</v>
      </c>
      <c r="B135" s="11">
        <f t="shared" si="29"/>
        <v>12</v>
      </c>
      <c r="D135" s="76" t="s">
        <v>86</v>
      </c>
      <c r="E135" s="11">
        <f t="shared" si="30"/>
        <v>2</v>
      </c>
      <c r="F135" s="11">
        <f t="shared" si="30"/>
        <v>4</v>
      </c>
      <c r="H135" s="11">
        <f t="shared" si="31"/>
        <v>10</v>
      </c>
      <c r="I135" s="11">
        <f t="shared" si="31"/>
        <v>5</v>
      </c>
      <c r="J135" s="11">
        <f t="shared" si="31"/>
        <v>5</v>
      </c>
    </row>
  </sheetData>
  <phoneticPr fontId="2" type="noConversion"/>
  <pageMargins left="0.62992125984251968" right="0.23622047244094491" top="0.74803149606299213" bottom="0.74803149606299213" header="0.31496062992125984" footer="0.31496062992125984"/>
  <pageSetup paperSize="9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CEFE2-88F5-4694-8ED6-C5F16977D286}">
  <sheetPr codeName="Sheet2"/>
  <dimension ref="A1:L197"/>
  <sheetViews>
    <sheetView topLeftCell="A97" zoomScale="130" zoomScaleNormal="130" workbookViewId="0">
      <selection activeCell="J119" sqref="J119"/>
    </sheetView>
  </sheetViews>
  <sheetFormatPr defaultColWidth="8.6640625" defaultRowHeight="15" customHeight="1" x14ac:dyDescent="0.3"/>
  <cols>
    <col min="1" max="1" width="12" style="22" customWidth="1"/>
    <col min="2" max="3" width="7.6640625" style="19" customWidth="1"/>
    <col min="4" max="4" width="19.44140625" style="19" customWidth="1"/>
    <col min="5" max="5" width="19.33203125" style="11" customWidth="1"/>
    <col min="6" max="6" width="4.33203125" style="11" customWidth="1"/>
    <col min="7" max="7" width="19.33203125" style="11" customWidth="1"/>
    <col min="8" max="9" width="19.33203125" style="19" customWidth="1"/>
    <col min="10" max="10" width="19.6640625" style="11" bestFit="1" customWidth="1"/>
    <col min="11" max="16384" width="8.6640625" style="11"/>
  </cols>
  <sheetData>
    <row r="1" spans="1:12" ht="15" customHeight="1" x14ac:dyDescent="0.3">
      <c r="A1" s="9" t="s">
        <v>6</v>
      </c>
      <c r="B1" s="9" t="s">
        <v>7</v>
      </c>
      <c r="C1" s="9" t="s">
        <v>8</v>
      </c>
      <c r="D1" s="9" t="s">
        <v>9</v>
      </c>
      <c r="E1" s="9" t="s">
        <v>10</v>
      </c>
      <c r="F1" s="9"/>
      <c r="G1" s="9" t="s">
        <v>11</v>
      </c>
      <c r="H1" s="9" t="s">
        <v>12</v>
      </c>
      <c r="I1" s="9" t="s">
        <v>13</v>
      </c>
      <c r="K1" s="12" t="s">
        <v>6</v>
      </c>
      <c r="L1" s="10" t="s">
        <v>7</v>
      </c>
    </row>
    <row r="2" spans="1:12" ht="15" customHeight="1" x14ac:dyDescent="0.3">
      <c r="A2" s="13" t="s">
        <v>14</v>
      </c>
      <c r="B2" s="14" t="s">
        <v>15</v>
      </c>
      <c r="C2" s="14" t="s">
        <v>0</v>
      </c>
      <c r="D2" s="14" t="str">
        <f>G8</f>
        <v>G3</v>
      </c>
      <c r="E2" s="15" t="s">
        <v>50</v>
      </c>
      <c r="F2" s="15" t="s">
        <v>3</v>
      </c>
      <c r="G2" s="15" t="s">
        <v>57</v>
      </c>
      <c r="H2" s="14" t="str">
        <f>E3</f>
        <v>T1</v>
      </c>
      <c r="I2" s="14"/>
    </row>
    <row r="3" spans="1:12" ht="15" customHeight="1" x14ac:dyDescent="0.3">
      <c r="A3" s="16">
        <v>45126</v>
      </c>
      <c r="B3" s="14" t="s">
        <v>16</v>
      </c>
      <c r="C3" s="14" t="s">
        <v>0</v>
      </c>
      <c r="D3" s="14"/>
      <c r="E3" s="15" t="s">
        <v>49</v>
      </c>
      <c r="F3" s="15" t="s">
        <v>3</v>
      </c>
      <c r="G3" s="15" t="s">
        <v>56</v>
      </c>
      <c r="H3" s="14" t="str">
        <f>G2</f>
        <v>T6</v>
      </c>
      <c r="I3" s="14"/>
    </row>
    <row r="4" spans="1:12" ht="15" customHeight="1" x14ac:dyDescent="0.3">
      <c r="A4" s="13"/>
      <c r="B4" s="14" t="s">
        <v>17</v>
      </c>
      <c r="C4" s="14" t="s">
        <v>0</v>
      </c>
      <c r="D4" s="14"/>
      <c r="E4" s="15" t="s">
        <v>68</v>
      </c>
      <c r="F4" s="15" t="s">
        <v>3</v>
      </c>
      <c r="G4" s="15" t="s">
        <v>51</v>
      </c>
      <c r="H4" s="14" t="str">
        <f>G3</f>
        <v>T5</v>
      </c>
      <c r="I4" s="14" t="str">
        <f>G4</f>
        <v>T3</v>
      </c>
    </row>
    <row r="5" spans="1:12" ht="15" customHeight="1" x14ac:dyDescent="0.3">
      <c r="A5" s="13"/>
      <c r="B5" s="14" t="s">
        <v>15</v>
      </c>
      <c r="C5" s="14" t="s">
        <v>1</v>
      </c>
      <c r="D5" s="14" t="str">
        <f>E5</f>
        <v>G9</v>
      </c>
      <c r="E5" s="23" t="s">
        <v>87</v>
      </c>
      <c r="F5" s="23" t="s">
        <v>3</v>
      </c>
      <c r="G5" s="23" t="s">
        <v>86</v>
      </c>
      <c r="H5" s="14" t="str">
        <f>E6</f>
        <v>T4</v>
      </c>
      <c r="I5" s="14"/>
    </row>
    <row r="6" spans="1:12" ht="15" customHeight="1" x14ac:dyDescent="0.3">
      <c r="A6" s="16"/>
      <c r="B6" s="14" t="s">
        <v>16</v>
      </c>
      <c r="C6" s="14" t="s">
        <v>1</v>
      </c>
      <c r="D6" s="14"/>
      <c r="E6" s="15" t="s">
        <v>52</v>
      </c>
      <c r="F6" s="15" t="s">
        <v>3</v>
      </c>
      <c r="G6" s="15" t="s">
        <v>67</v>
      </c>
      <c r="H6" s="14" t="str">
        <f>E4</f>
        <v>T7</v>
      </c>
      <c r="I6" s="14"/>
    </row>
    <row r="7" spans="1:12" ht="15" customHeight="1" x14ac:dyDescent="0.3">
      <c r="A7" s="16"/>
      <c r="B7" s="14" t="s">
        <v>17</v>
      </c>
      <c r="C7" s="14" t="s">
        <v>1</v>
      </c>
      <c r="D7" s="14"/>
      <c r="E7" s="23" t="s">
        <v>85</v>
      </c>
      <c r="F7" s="23" t="s">
        <v>3</v>
      </c>
      <c r="G7" s="23" t="s">
        <v>80</v>
      </c>
      <c r="H7" s="14" t="str">
        <f>G6</f>
        <v>T8</v>
      </c>
      <c r="I7" s="14" t="str">
        <f>G7</f>
        <v>G2</v>
      </c>
    </row>
    <row r="8" spans="1:12" ht="15" customHeight="1" x14ac:dyDescent="0.3">
      <c r="A8" s="13"/>
      <c r="B8" s="14" t="s">
        <v>15</v>
      </c>
      <c r="C8" s="14" t="s">
        <v>2</v>
      </c>
      <c r="D8" s="14" t="str">
        <f>E8</f>
        <v>G10</v>
      </c>
      <c r="E8" s="23" t="s">
        <v>88</v>
      </c>
      <c r="F8" s="23" t="s">
        <v>3</v>
      </c>
      <c r="G8" s="23" t="s">
        <v>81</v>
      </c>
      <c r="H8" s="14" t="str">
        <f>E9</f>
        <v>G1</v>
      </c>
      <c r="I8" s="14"/>
    </row>
    <row r="9" spans="1:12" ht="15" customHeight="1" x14ac:dyDescent="0.3">
      <c r="A9" s="13"/>
      <c r="B9" s="14" t="s">
        <v>16</v>
      </c>
      <c r="C9" s="14" t="s">
        <v>2</v>
      </c>
      <c r="D9" s="14"/>
      <c r="E9" s="23" t="s">
        <v>79</v>
      </c>
      <c r="F9" s="23" t="s">
        <v>3</v>
      </c>
      <c r="G9" s="23" t="s">
        <v>84</v>
      </c>
      <c r="H9" s="14" t="str">
        <f>G7</f>
        <v>G2</v>
      </c>
      <c r="I9" s="14"/>
    </row>
    <row r="10" spans="1:12" ht="15" customHeight="1" x14ac:dyDescent="0.3">
      <c r="A10" s="13"/>
      <c r="B10" s="14" t="s">
        <v>17</v>
      </c>
      <c r="C10" s="14" t="s">
        <v>2</v>
      </c>
      <c r="D10" s="14"/>
      <c r="E10" s="23" t="s">
        <v>83</v>
      </c>
      <c r="F10" s="23" t="s">
        <v>3</v>
      </c>
      <c r="G10" s="23" t="s">
        <v>82</v>
      </c>
      <c r="H10" s="14" t="str">
        <f>G9</f>
        <v>G6</v>
      </c>
      <c r="I10" s="14" t="str">
        <f>G10</f>
        <v>G4</v>
      </c>
    </row>
    <row r="11" spans="1:12" s="19" customFormat="1" ht="15" customHeight="1" x14ac:dyDescent="0.3">
      <c r="A11" s="17"/>
      <c r="B11" s="18"/>
      <c r="C11" s="18"/>
      <c r="D11" s="18"/>
      <c r="E11" s="18"/>
      <c r="F11" s="18"/>
      <c r="G11" s="18"/>
      <c r="H11" s="18"/>
      <c r="I11" s="18"/>
    </row>
    <row r="12" spans="1:12" ht="15" customHeight="1" x14ac:dyDescent="0.3">
      <c r="A12" s="13" t="s">
        <v>18</v>
      </c>
      <c r="B12" s="14" t="s">
        <v>15</v>
      </c>
      <c r="C12" s="14" t="s">
        <v>0</v>
      </c>
      <c r="D12" s="14" t="str">
        <f>G18</f>
        <v>G7</v>
      </c>
      <c r="E12" s="15" t="s">
        <v>52</v>
      </c>
      <c r="F12" s="15" t="s">
        <v>3</v>
      </c>
      <c r="G12" s="15" t="s">
        <v>50</v>
      </c>
      <c r="H12" s="14" t="str">
        <f>E13</f>
        <v>T3</v>
      </c>
      <c r="I12" s="14"/>
    </row>
    <row r="13" spans="1:12" ht="15" customHeight="1" x14ac:dyDescent="0.3">
      <c r="A13" s="16">
        <f>A3+7</f>
        <v>45133</v>
      </c>
      <c r="B13" s="14" t="s">
        <v>16</v>
      </c>
      <c r="C13" s="14" t="s">
        <v>0</v>
      </c>
      <c r="D13" s="14"/>
      <c r="E13" s="15" t="s">
        <v>51</v>
      </c>
      <c r="F13" s="15" t="s">
        <v>3</v>
      </c>
      <c r="G13" s="15" t="s">
        <v>57</v>
      </c>
      <c r="H13" s="14" t="str">
        <f>G12</f>
        <v>T2</v>
      </c>
      <c r="I13" s="14"/>
    </row>
    <row r="14" spans="1:12" ht="15" customHeight="1" x14ac:dyDescent="0.3">
      <c r="A14" s="13"/>
      <c r="B14" s="14" t="s">
        <v>17</v>
      </c>
      <c r="C14" s="14" t="s">
        <v>0</v>
      </c>
      <c r="D14" s="14"/>
      <c r="E14" s="15" t="s">
        <v>56</v>
      </c>
      <c r="F14" s="15" t="s">
        <v>3</v>
      </c>
      <c r="G14" s="15" t="s">
        <v>67</v>
      </c>
      <c r="H14" s="14" t="str">
        <f>G13</f>
        <v>T6</v>
      </c>
      <c r="I14" s="14" t="str">
        <f>G14</f>
        <v>T8</v>
      </c>
    </row>
    <row r="15" spans="1:12" ht="15" customHeight="1" x14ac:dyDescent="0.3">
      <c r="A15" s="13"/>
      <c r="B15" s="14" t="s">
        <v>15</v>
      </c>
      <c r="C15" s="14" t="s">
        <v>1</v>
      </c>
      <c r="D15" s="14" t="str">
        <f>E15</f>
        <v>G2</v>
      </c>
      <c r="E15" s="23" t="s">
        <v>80</v>
      </c>
      <c r="F15" s="23" t="s">
        <v>3</v>
      </c>
      <c r="G15" s="23" t="s">
        <v>87</v>
      </c>
      <c r="H15" s="14" t="str">
        <f>E16</f>
        <v>T1</v>
      </c>
      <c r="I15" s="14"/>
    </row>
    <row r="16" spans="1:12" ht="15" customHeight="1" x14ac:dyDescent="0.3">
      <c r="A16" s="16"/>
      <c r="B16" s="14" t="s">
        <v>16</v>
      </c>
      <c r="C16" s="14" t="s">
        <v>1</v>
      </c>
      <c r="D16" s="14"/>
      <c r="E16" s="15" t="s">
        <v>49</v>
      </c>
      <c r="F16" s="15" t="s">
        <v>3</v>
      </c>
      <c r="G16" s="15" t="s">
        <v>68</v>
      </c>
      <c r="H16" s="14" t="str">
        <f>E14</f>
        <v>T5</v>
      </c>
      <c r="I16" s="14"/>
    </row>
    <row r="17" spans="1:9" ht="15" customHeight="1" x14ac:dyDescent="0.3">
      <c r="A17" s="16"/>
      <c r="B17" s="14" t="s">
        <v>17</v>
      </c>
      <c r="C17" s="14" t="s">
        <v>1</v>
      </c>
      <c r="D17" s="14"/>
      <c r="E17" s="23" t="s">
        <v>81</v>
      </c>
      <c r="F17" s="23" t="s">
        <v>3</v>
      </c>
      <c r="G17" s="23" t="s">
        <v>86</v>
      </c>
      <c r="H17" s="14" t="str">
        <f>G16</f>
        <v>T7</v>
      </c>
      <c r="I17" s="14" t="str">
        <f>G17</f>
        <v>G8</v>
      </c>
    </row>
    <row r="18" spans="1:9" ht="15" customHeight="1" x14ac:dyDescent="0.3">
      <c r="A18" s="13"/>
      <c r="B18" s="14" t="s">
        <v>15</v>
      </c>
      <c r="C18" s="14" t="s">
        <v>2</v>
      </c>
      <c r="D18" s="14" t="str">
        <f>E18</f>
        <v>G6</v>
      </c>
      <c r="E18" s="23" t="s">
        <v>84</v>
      </c>
      <c r="F18" s="23" t="s">
        <v>3</v>
      </c>
      <c r="G18" s="23" t="s">
        <v>85</v>
      </c>
      <c r="H18" s="14" t="str">
        <f>E19</f>
        <v>G4</v>
      </c>
      <c r="I18" s="14"/>
    </row>
    <row r="19" spans="1:9" ht="15" customHeight="1" x14ac:dyDescent="0.3">
      <c r="A19" s="13"/>
      <c r="B19" s="14" t="s">
        <v>16</v>
      </c>
      <c r="C19" s="14" t="s">
        <v>2</v>
      </c>
      <c r="D19" s="14"/>
      <c r="E19" s="23" t="s">
        <v>82</v>
      </c>
      <c r="F19" s="23" t="s">
        <v>3</v>
      </c>
      <c r="G19" s="23" t="s">
        <v>88</v>
      </c>
      <c r="H19" s="14" t="str">
        <f>E20</f>
        <v>G5</v>
      </c>
      <c r="I19" s="14"/>
    </row>
    <row r="20" spans="1:9" ht="15" customHeight="1" x14ac:dyDescent="0.3">
      <c r="A20" s="13"/>
      <c r="B20" s="14" t="s">
        <v>17</v>
      </c>
      <c r="C20" s="14" t="s">
        <v>2</v>
      </c>
      <c r="D20" s="14"/>
      <c r="E20" s="23" t="s">
        <v>83</v>
      </c>
      <c r="F20" s="23" t="s">
        <v>3</v>
      </c>
      <c r="G20" s="23" t="s">
        <v>79</v>
      </c>
      <c r="H20" s="14" t="str">
        <f>G15</f>
        <v>G9</v>
      </c>
      <c r="I20" s="14" t="str">
        <f>G20</f>
        <v>G1</v>
      </c>
    </row>
    <row r="21" spans="1:9" s="19" customFormat="1" ht="15" customHeight="1" x14ac:dyDescent="0.3">
      <c r="A21" s="17"/>
      <c r="B21" s="18"/>
      <c r="C21" s="18"/>
      <c r="D21" s="18"/>
      <c r="E21" s="18"/>
      <c r="F21" s="18"/>
      <c r="G21" s="18"/>
      <c r="H21" s="18"/>
      <c r="I21" s="18"/>
    </row>
    <row r="22" spans="1:9" ht="15" customHeight="1" x14ac:dyDescent="0.3">
      <c r="A22" s="13" t="s">
        <v>19</v>
      </c>
      <c r="B22" s="14" t="s">
        <v>15</v>
      </c>
      <c r="C22" s="14" t="s">
        <v>0</v>
      </c>
      <c r="D22" s="14" t="str">
        <f>G28</f>
        <v>G4</v>
      </c>
      <c r="E22" s="15" t="s">
        <v>67</v>
      </c>
      <c r="F22" s="15" t="s">
        <v>3</v>
      </c>
      <c r="G22" s="15" t="s">
        <v>68</v>
      </c>
      <c r="H22" s="14" t="str">
        <f>E23</f>
        <v>T6</v>
      </c>
      <c r="I22" s="14"/>
    </row>
    <row r="23" spans="1:9" ht="15" customHeight="1" x14ac:dyDescent="0.3">
      <c r="A23" s="16">
        <f>A13+7</f>
        <v>45140</v>
      </c>
      <c r="B23" s="14" t="s">
        <v>16</v>
      </c>
      <c r="C23" s="14" t="s">
        <v>0</v>
      </c>
      <c r="D23" s="14"/>
      <c r="E23" s="15" t="s">
        <v>57</v>
      </c>
      <c r="F23" s="15" t="s">
        <v>3</v>
      </c>
      <c r="G23" s="15" t="s">
        <v>49</v>
      </c>
      <c r="H23" s="14" t="str">
        <f>G22</f>
        <v>T7</v>
      </c>
      <c r="I23" s="14"/>
    </row>
    <row r="24" spans="1:9" ht="15" customHeight="1" x14ac:dyDescent="0.3">
      <c r="A24" s="13"/>
      <c r="B24" s="14" t="s">
        <v>17</v>
      </c>
      <c r="C24" s="14" t="s">
        <v>0</v>
      </c>
      <c r="D24" s="14"/>
      <c r="E24" s="15" t="s">
        <v>52</v>
      </c>
      <c r="F24" s="15" t="s">
        <v>3</v>
      </c>
      <c r="G24" s="15" t="s">
        <v>56</v>
      </c>
      <c r="H24" s="14" t="str">
        <f>G23</f>
        <v>T1</v>
      </c>
      <c r="I24" s="14" t="str">
        <f>G24</f>
        <v>T5</v>
      </c>
    </row>
    <row r="25" spans="1:9" ht="15" customHeight="1" x14ac:dyDescent="0.3">
      <c r="A25" s="13"/>
      <c r="B25" s="14" t="s">
        <v>15</v>
      </c>
      <c r="C25" s="14" t="s">
        <v>1</v>
      </c>
      <c r="D25" s="14" t="str">
        <f>E25</f>
        <v>G9</v>
      </c>
      <c r="E25" s="23" t="s">
        <v>87</v>
      </c>
      <c r="F25" s="23" t="s">
        <v>3</v>
      </c>
      <c r="G25" s="23" t="s">
        <v>81</v>
      </c>
      <c r="H25" s="14" t="str">
        <f>E26</f>
        <v>T2</v>
      </c>
      <c r="I25" s="14"/>
    </row>
    <row r="26" spans="1:9" ht="15" customHeight="1" x14ac:dyDescent="0.3">
      <c r="A26" s="16"/>
      <c r="B26" s="14" t="s">
        <v>16</v>
      </c>
      <c r="C26" s="14" t="s">
        <v>1</v>
      </c>
      <c r="D26" s="14"/>
      <c r="E26" s="15" t="s">
        <v>50</v>
      </c>
      <c r="F26" s="15" t="s">
        <v>3</v>
      </c>
      <c r="G26" s="15" t="s">
        <v>51</v>
      </c>
      <c r="H26" s="14" t="str">
        <f>E24</f>
        <v>T4</v>
      </c>
      <c r="I26" s="14"/>
    </row>
    <row r="27" spans="1:9" ht="15" customHeight="1" x14ac:dyDescent="0.3">
      <c r="A27" s="16"/>
      <c r="B27" s="14" t="s">
        <v>17</v>
      </c>
      <c r="C27" s="14" t="s">
        <v>1</v>
      </c>
      <c r="D27" s="14"/>
      <c r="E27" s="23" t="s">
        <v>80</v>
      </c>
      <c r="F27" s="23" t="s">
        <v>3</v>
      </c>
      <c r="G27" s="23" t="s">
        <v>84</v>
      </c>
      <c r="H27" s="14" t="str">
        <f>G26</f>
        <v>T3</v>
      </c>
      <c r="I27" s="14" t="str">
        <f>G27</f>
        <v>G6</v>
      </c>
    </row>
    <row r="28" spans="1:9" ht="15" customHeight="1" x14ac:dyDescent="0.3">
      <c r="A28" s="13"/>
      <c r="B28" s="14" t="s">
        <v>15</v>
      </c>
      <c r="C28" s="14" t="s">
        <v>2</v>
      </c>
      <c r="D28" s="14" t="str">
        <f>E28</f>
        <v>G8</v>
      </c>
      <c r="E28" s="23" t="s">
        <v>86</v>
      </c>
      <c r="F28" s="23" t="s">
        <v>3</v>
      </c>
      <c r="G28" s="23" t="s">
        <v>82</v>
      </c>
      <c r="H28" s="14" t="str">
        <f>E29</f>
        <v>G7</v>
      </c>
      <c r="I28" s="14"/>
    </row>
    <row r="29" spans="1:9" ht="15" customHeight="1" x14ac:dyDescent="0.3">
      <c r="A29" s="13"/>
      <c r="B29" s="14" t="s">
        <v>16</v>
      </c>
      <c r="C29" s="14" t="s">
        <v>2</v>
      </c>
      <c r="D29" s="14"/>
      <c r="E29" s="23" t="s">
        <v>85</v>
      </c>
      <c r="F29" s="23" t="s">
        <v>3</v>
      </c>
      <c r="G29" s="23" t="s">
        <v>83</v>
      </c>
      <c r="H29" s="14" t="str">
        <f>E30</f>
        <v>G10</v>
      </c>
      <c r="I29" s="14"/>
    </row>
    <row r="30" spans="1:9" ht="15" customHeight="1" x14ac:dyDescent="0.3">
      <c r="A30" s="13"/>
      <c r="B30" s="14" t="s">
        <v>17</v>
      </c>
      <c r="C30" s="14" t="s">
        <v>2</v>
      </c>
      <c r="D30" s="14"/>
      <c r="E30" s="23" t="s">
        <v>88</v>
      </c>
      <c r="F30" s="23" t="s">
        <v>3</v>
      </c>
      <c r="G30" s="23" t="s">
        <v>79</v>
      </c>
      <c r="H30" s="14" t="str">
        <f>G29</f>
        <v>G5</v>
      </c>
      <c r="I30" s="14" t="str">
        <f>G30</f>
        <v>G1</v>
      </c>
    </row>
    <row r="31" spans="1:9" ht="15" customHeight="1" x14ac:dyDescent="0.3">
      <c r="A31" s="17"/>
      <c r="B31" s="18"/>
      <c r="C31" s="18"/>
      <c r="D31" s="18"/>
      <c r="E31" s="18"/>
      <c r="F31" s="18"/>
      <c r="G31" s="18"/>
      <c r="H31" s="18"/>
      <c r="I31" s="18"/>
    </row>
    <row r="32" spans="1:9" ht="15" customHeight="1" x14ac:dyDescent="0.3">
      <c r="A32" s="17"/>
      <c r="B32" s="18"/>
      <c r="C32" s="18"/>
      <c r="D32" s="18"/>
      <c r="E32" s="18"/>
      <c r="F32" s="18"/>
      <c r="G32" s="18"/>
      <c r="H32" s="18"/>
      <c r="I32" s="18"/>
    </row>
    <row r="33" spans="1:9" ht="15" customHeight="1" x14ac:dyDescent="0.3">
      <c r="A33" s="9" t="s">
        <v>6</v>
      </c>
      <c r="B33" s="9" t="s">
        <v>7</v>
      </c>
      <c r="C33" s="9" t="s">
        <v>8</v>
      </c>
      <c r="D33" s="9" t="s">
        <v>9</v>
      </c>
      <c r="E33" s="9" t="s">
        <v>10</v>
      </c>
      <c r="F33" s="9"/>
      <c r="G33" s="9" t="s">
        <v>11</v>
      </c>
      <c r="H33" s="9" t="s">
        <v>12</v>
      </c>
      <c r="I33" s="9" t="s">
        <v>13</v>
      </c>
    </row>
    <row r="34" spans="1:9" ht="15" customHeight="1" x14ac:dyDescent="0.3">
      <c r="A34" s="13" t="s">
        <v>20</v>
      </c>
      <c r="B34" s="14" t="s">
        <v>15</v>
      </c>
      <c r="C34" s="14" t="s">
        <v>0</v>
      </c>
      <c r="D34" s="14" t="str">
        <f>G40</f>
        <v>G2</v>
      </c>
      <c r="E34" s="15" t="s">
        <v>49</v>
      </c>
      <c r="F34" s="15" t="s">
        <v>3</v>
      </c>
      <c r="G34" s="15" t="s">
        <v>51</v>
      </c>
      <c r="H34" s="14" t="str">
        <f>E35</f>
        <v>T7</v>
      </c>
      <c r="I34" s="14"/>
    </row>
    <row r="35" spans="1:9" ht="15" customHeight="1" x14ac:dyDescent="0.3">
      <c r="A35" s="16">
        <f>A23+7</f>
        <v>45147</v>
      </c>
      <c r="B35" s="14" t="s">
        <v>16</v>
      </c>
      <c r="C35" s="14" t="s">
        <v>0</v>
      </c>
      <c r="D35" s="14"/>
      <c r="E35" s="15" t="s">
        <v>68</v>
      </c>
      <c r="F35" s="15" t="s">
        <v>3</v>
      </c>
      <c r="G35" s="15" t="s">
        <v>52</v>
      </c>
      <c r="H35" s="14" t="str">
        <f>G34</f>
        <v>T3</v>
      </c>
      <c r="I35" s="14"/>
    </row>
    <row r="36" spans="1:9" ht="15" customHeight="1" x14ac:dyDescent="0.3">
      <c r="A36" s="13"/>
      <c r="B36" s="14" t="s">
        <v>17</v>
      </c>
      <c r="C36" s="14" t="s">
        <v>0</v>
      </c>
      <c r="D36" s="14"/>
      <c r="E36" s="15" t="s">
        <v>67</v>
      </c>
      <c r="F36" s="15" t="s">
        <v>3</v>
      </c>
      <c r="G36" s="15" t="s">
        <v>57</v>
      </c>
      <c r="H36" s="14" t="str">
        <f>G35</f>
        <v>T4</v>
      </c>
      <c r="I36" s="14" t="str">
        <f>G36</f>
        <v>T6</v>
      </c>
    </row>
    <row r="37" spans="1:9" ht="15" customHeight="1" x14ac:dyDescent="0.3">
      <c r="A37" s="13"/>
      <c r="B37" s="14" t="s">
        <v>15</v>
      </c>
      <c r="C37" s="14" t="s">
        <v>1</v>
      </c>
      <c r="D37" s="14" t="str">
        <f>E37</f>
        <v>G10</v>
      </c>
      <c r="E37" s="23" t="s">
        <v>88</v>
      </c>
      <c r="F37" s="23" t="s">
        <v>3</v>
      </c>
      <c r="G37" s="23" t="s">
        <v>85</v>
      </c>
      <c r="H37" s="14" t="str">
        <f>E38</f>
        <v>T5</v>
      </c>
      <c r="I37" s="14"/>
    </row>
    <row r="38" spans="1:9" ht="15" customHeight="1" x14ac:dyDescent="0.3">
      <c r="A38" s="16"/>
      <c r="B38" s="14" t="s">
        <v>16</v>
      </c>
      <c r="C38" s="14" t="s">
        <v>1</v>
      </c>
      <c r="D38" s="14"/>
      <c r="E38" s="15" t="s">
        <v>56</v>
      </c>
      <c r="F38" s="15" t="s">
        <v>3</v>
      </c>
      <c r="G38" s="15" t="s">
        <v>50</v>
      </c>
      <c r="H38" s="14" t="str">
        <f>E36</f>
        <v>T8</v>
      </c>
      <c r="I38" s="14"/>
    </row>
    <row r="39" spans="1:9" ht="15" customHeight="1" x14ac:dyDescent="0.3">
      <c r="A39" s="16"/>
      <c r="B39" s="14" t="s">
        <v>17</v>
      </c>
      <c r="C39" s="14" t="s">
        <v>1</v>
      </c>
      <c r="D39" s="14"/>
      <c r="E39" s="23" t="s">
        <v>79</v>
      </c>
      <c r="F39" s="23" t="s">
        <v>3</v>
      </c>
      <c r="G39" s="23" t="s">
        <v>86</v>
      </c>
      <c r="H39" s="14" t="str">
        <f>G38</f>
        <v>T2</v>
      </c>
      <c r="I39" s="14" t="str">
        <f>G39</f>
        <v>G8</v>
      </c>
    </row>
    <row r="40" spans="1:9" ht="15" customHeight="1" x14ac:dyDescent="0.3">
      <c r="A40" s="13"/>
      <c r="B40" s="14" t="s">
        <v>15</v>
      </c>
      <c r="C40" s="14" t="s">
        <v>2</v>
      </c>
      <c r="D40" s="14" t="str">
        <f>E40</f>
        <v>G5</v>
      </c>
      <c r="E40" s="23" t="s">
        <v>83</v>
      </c>
      <c r="F40" s="23" t="s">
        <v>3</v>
      </c>
      <c r="G40" s="23" t="s">
        <v>80</v>
      </c>
      <c r="H40" s="14" t="str">
        <f>G42</f>
        <v>G9</v>
      </c>
      <c r="I40" s="14"/>
    </row>
    <row r="41" spans="1:9" ht="15" customHeight="1" x14ac:dyDescent="0.3">
      <c r="A41" s="13"/>
      <c r="B41" s="14" t="s">
        <v>16</v>
      </c>
      <c r="C41" s="14" t="s">
        <v>2</v>
      </c>
      <c r="D41" s="14"/>
      <c r="E41" s="23" t="s">
        <v>82</v>
      </c>
      <c r="F41" s="23" t="s">
        <v>3</v>
      </c>
      <c r="G41" s="23" t="s">
        <v>81</v>
      </c>
      <c r="H41" s="14" t="str">
        <f>E42</f>
        <v>G6</v>
      </c>
      <c r="I41" s="14"/>
    </row>
    <row r="42" spans="1:9" ht="15" customHeight="1" x14ac:dyDescent="0.3">
      <c r="A42" s="13"/>
      <c r="B42" s="14" t="s">
        <v>17</v>
      </c>
      <c r="C42" s="14" t="s">
        <v>2</v>
      </c>
      <c r="D42" s="14"/>
      <c r="E42" s="23" t="s">
        <v>84</v>
      </c>
      <c r="F42" s="23" t="s">
        <v>3</v>
      </c>
      <c r="G42" s="23" t="s">
        <v>87</v>
      </c>
      <c r="H42" s="14" t="str">
        <f>G41</f>
        <v>G3</v>
      </c>
      <c r="I42" s="14" t="str">
        <f>G42</f>
        <v>G9</v>
      </c>
    </row>
    <row r="43" spans="1:9" ht="15" customHeight="1" x14ac:dyDescent="0.3">
      <c r="A43" s="17"/>
      <c r="B43" s="18"/>
      <c r="C43" s="18"/>
      <c r="D43" s="18"/>
      <c r="E43" s="18"/>
      <c r="F43" s="18"/>
      <c r="G43" s="18"/>
      <c r="H43" s="18"/>
      <c r="I43" s="18"/>
    </row>
    <row r="44" spans="1:9" ht="15" customHeight="1" x14ac:dyDescent="0.3">
      <c r="A44" s="13" t="s">
        <v>21</v>
      </c>
      <c r="B44" s="14" t="s">
        <v>15</v>
      </c>
      <c r="C44" s="14" t="s">
        <v>0</v>
      </c>
      <c r="D44" s="14" t="str">
        <f>G50</f>
        <v>G1</v>
      </c>
      <c r="E44" s="15" t="s">
        <v>51</v>
      </c>
      <c r="F44" s="15" t="s">
        <v>3</v>
      </c>
      <c r="G44" s="15" t="s">
        <v>67</v>
      </c>
      <c r="H44" s="14" t="str">
        <f>E45</f>
        <v>T4</v>
      </c>
      <c r="I44" s="14"/>
    </row>
    <row r="45" spans="1:9" ht="15" customHeight="1" x14ac:dyDescent="0.3">
      <c r="A45" s="16">
        <f>A35+7</f>
        <v>45154</v>
      </c>
      <c r="B45" s="14" t="s">
        <v>16</v>
      </c>
      <c r="C45" s="14" t="s">
        <v>0</v>
      </c>
      <c r="D45" s="14"/>
      <c r="E45" s="15" t="s">
        <v>52</v>
      </c>
      <c r="F45" s="15" t="s">
        <v>3</v>
      </c>
      <c r="G45" s="15" t="s">
        <v>57</v>
      </c>
      <c r="H45" s="14" t="str">
        <f>G46</f>
        <v>T1</v>
      </c>
      <c r="I45" s="14"/>
    </row>
    <row r="46" spans="1:9" ht="15" customHeight="1" x14ac:dyDescent="0.3">
      <c r="A46" s="13"/>
      <c r="B46" s="14" t="s">
        <v>17</v>
      </c>
      <c r="C46" s="14" t="s">
        <v>0</v>
      </c>
      <c r="D46" s="14"/>
      <c r="E46" s="15" t="s">
        <v>50</v>
      </c>
      <c r="F46" s="15" t="s">
        <v>3</v>
      </c>
      <c r="G46" s="15" t="s">
        <v>49</v>
      </c>
      <c r="H46" s="14" t="str">
        <f>G45</f>
        <v>T6</v>
      </c>
      <c r="I46" s="14" t="str">
        <f>G46</f>
        <v>T1</v>
      </c>
    </row>
    <row r="47" spans="1:9" ht="15" customHeight="1" x14ac:dyDescent="0.3">
      <c r="A47" s="13"/>
      <c r="B47" s="14" t="s">
        <v>15</v>
      </c>
      <c r="C47" s="14" t="s">
        <v>1</v>
      </c>
      <c r="D47" s="14" t="str">
        <f>E47</f>
        <v>G8</v>
      </c>
      <c r="E47" s="23" t="s">
        <v>86</v>
      </c>
      <c r="F47" s="23" t="s">
        <v>3</v>
      </c>
      <c r="G47" s="23" t="s">
        <v>85</v>
      </c>
      <c r="H47" s="14" t="str">
        <f>E48</f>
        <v>T5</v>
      </c>
      <c r="I47" s="14"/>
    </row>
    <row r="48" spans="1:9" ht="15" customHeight="1" x14ac:dyDescent="0.3">
      <c r="A48" s="16"/>
      <c r="B48" s="14" t="s">
        <v>16</v>
      </c>
      <c r="C48" s="14" t="s">
        <v>1</v>
      </c>
      <c r="D48" s="14"/>
      <c r="E48" s="15" t="s">
        <v>56</v>
      </c>
      <c r="F48" s="15" t="s">
        <v>3</v>
      </c>
      <c r="G48" s="15" t="s">
        <v>68</v>
      </c>
      <c r="H48" s="14" t="str">
        <f>E46</f>
        <v>T2</v>
      </c>
      <c r="I48" s="14"/>
    </row>
    <row r="49" spans="1:9" ht="15" customHeight="1" x14ac:dyDescent="0.3">
      <c r="A49" s="16"/>
      <c r="B49" s="14" t="s">
        <v>17</v>
      </c>
      <c r="C49" s="14" t="s">
        <v>1</v>
      </c>
      <c r="D49" s="14"/>
      <c r="E49" s="23" t="s">
        <v>80</v>
      </c>
      <c r="F49" s="23" t="s">
        <v>3</v>
      </c>
      <c r="G49" s="23" t="s">
        <v>88</v>
      </c>
      <c r="H49" s="14" t="str">
        <f>G48</f>
        <v>T7</v>
      </c>
      <c r="I49" s="14" t="str">
        <f>G49</f>
        <v>G10</v>
      </c>
    </row>
    <row r="50" spans="1:9" ht="15" customHeight="1" x14ac:dyDescent="0.3">
      <c r="A50" s="13"/>
      <c r="B50" s="14" t="s">
        <v>15</v>
      </c>
      <c r="C50" s="14" t="s">
        <v>2</v>
      </c>
      <c r="D50" s="14" t="str">
        <f>E50</f>
        <v>G3</v>
      </c>
      <c r="E50" s="23" t="s">
        <v>81</v>
      </c>
      <c r="F50" s="23" t="s">
        <v>3</v>
      </c>
      <c r="G50" s="23" t="s">
        <v>79</v>
      </c>
      <c r="H50" s="14" t="str">
        <f>E51</f>
        <v>G9</v>
      </c>
      <c r="I50" s="14"/>
    </row>
    <row r="51" spans="1:9" ht="15" customHeight="1" x14ac:dyDescent="0.3">
      <c r="A51" s="13"/>
      <c r="B51" s="14" t="s">
        <v>16</v>
      </c>
      <c r="C51" s="14" t="s">
        <v>2</v>
      </c>
      <c r="D51" s="14"/>
      <c r="E51" s="23" t="s">
        <v>87</v>
      </c>
      <c r="F51" s="23" t="s">
        <v>3</v>
      </c>
      <c r="G51" s="23" t="s">
        <v>82</v>
      </c>
      <c r="H51" s="14" t="str">
        <f>E52</f>
        <v>G6</v>
      </c>
      <c r="I51" s="14"/>
    </row>
    <row r="52" spans="1:9" ht="15" customHeight="1" x14ac:dyDescent="0.3">
      <c r="A52" s="13"/>
      <c r="B52" s="14" t="s">
        <v>17</v>
      </c>
      <c r="C52" s="14" t="s">
        <v>2</v>
      </c>
      <c r="D52" s="14"/>
      <c r="E52" s="23" t="s">
        <v>84</v>
      </c>
      <c r="F52" s="23" t="s">
        <v>3</v>
      </c>
      <c r="G52" s="23" t="s">
        <v>83</v>
      </c>
      <c r="H52" s="14" t="str">
        <f>G51</f>
        <v>G4</v>
      </c>
      <c r="I52" s="14" t="str">
        <f>G52</f>
        <v>G5</v>
      </c>
    </row>
    <row r="53" spans="1:9" ht="15" customHeight="1" x14ac:dyDescent="0.3">
      <c r="A53" s="17"/>
      <c r="B53" s="18"/>
      <c r="C53" s="18"/>
      <c r="D53" s="18"/>
      <c r="E53" s="18"/>
      <c r="F53" s="18"/>
      <c r="G53" s="18"/>
      <c r="H53" s="18"/>
      <c r="I53" s="18"/>
    </row>
    <row r="54" spans="1:9" ht="15" customHeight="1" x14ac:dyDescent="0.3">
      <c r="A54" s="13" t="s">
        <v>22</v>
      </c>
      <c r="B54" s="14" t="s">
        <v>15</v>
      </c>
      <c r="C54" s="14" t="s">
        <v>0</v>
      </c>
      <c r="D54" s="14" t="str">
        <f>G60</f>
        <v>G10</v>
      </c>
      <c r="E54" s="15" t="s">
        <v>68</v>
      </c>
      <c r="F54" s="15" t="s">
        <v>3</v>
      </c>
      <c r="G54" s="15" t="s">
        <v>50</v>
      </c>
      <c r="H54" s="14" t="str">
        <f>E55</f>
        <v>T8</v>
      </c>
      <c r="I54" s="14"/>
    </row>
    <row r="55" spans="1:9" ht="15" customHeight="1" x14ac:dyDescent="0.3">
      <c r="A55" s="16">
        <f>A45+7</f>
        <v>45161</v>
      </c>
      <c r="B55" s="14" t="s">
        <v>16</v>
      </c>
      <c r="C55" s="14" t="s">
        <v>0</v>
      </c>
      <c r="D55" s="14"/>
      <c r="E55" s="15" t="s">
        <v>67</v>
      </c>
      <c r="F55" s="15" t="s">
        <v>3</v>
      </c>
      <c r="G55" s="15" t="s">
        <v>49</v>
      </c>
      <c r="H55" s="14" t="str">
        <f>G54</f>
        <v>T2</v>
      </c>
      <c r="I55" s="14"/>
    </row>
    <row r="56" spans="1:9" ht="15" customHeight="1" x14ac:dyDescent="0.3">
      <c r="A56" s="13"/>
      <c r="B56" s="14" t="s">
        <v>17</v>
      </c>
      <c r="C56" s="14" t="s">
        <v>0</v>
      </c>
      <c r="D56" s="14"/>
      <c r="E56" s="15" t="s">
        <v>57</v>
      </c>
      <c r="F56" s="15" t="s">
        <v>3</v>
      </c>
      <c r="G56" s="15" t="s">
        <v>56</v>
      </c>
      <c r="H56" s="14" t="str">
        <f>G55</f>
        <v>T1</v>
      </c>
      <c r="I56" s="14" t="str">
        <f>G56</f>
        <v>T5</v>
      </c>
    </row>
    <row r="57" spans="1:9" ht="15" customHeight="1" x14ac:dyDescent="0.3">
      <c r="A57" s="13"/>
      <c r="B57" s="14" t="s">
        <v>15</v>
      </c>
      <c r="C57" s="14" t="s">
        <v>1</v>
      </c>
      <c r="D57" s="14" t="str">
        <f>E57</f>
        <v>G3</v>
      </c>
      <c r="E57" s="23" t="s">
        <v>81</v>
      </c>
      <c r="F57" s="23" t="s">
        <v>3</v>
      </c>
      <c r="G57" s="23" t="s">
        <v>80</v>
      </c>
      <c r="H57" s="14" t="str">
        <f>E58</f>
        <v>T4</v>
      </c>
      <c r="I57" s="14"/>
    </row>
    <row r="58" spans="1:9" ht="15" customHeight="1" x14ac:dyDescent="0.3">
      <c r="A58" s="16"/>
      <c r="B58" s="14" t="s">
        <v>16</v>
      </c>
      <c r="C58" s="14" t="s">
        <v>1</v>
      </c>
      <c r="D58" s="14"/>
      <c r="E58" s="15" t="s">
        <v>52</v>
      </c>
      <c r="F58" s="15" t="s">
        <v>3</v>
      </c>
      <c r="G58" s="15" t="s">
        <v>51</v>
      </c>
      <c r="H58" s="14" t="str">
        <f>E56</f>
        <v>T6</v>
      </c>
      <c r="I58" s="14"/>
    </row>
    <row r="59" spans="1:9" ht="15" customHeight="1" x14ac:dyDescent="0.3">
      <c r="A59" s="16"/>
      <c r="B59" s="14" t="s">
        <v>17</v>
      </c>
      <c r="C59" s="14" t="s">
        <v>1</v>
      </c>
      <c r="D59" s="14"/>
      <c r="E59" s="23" t="s">
        <v>87</v>
      </c>
      <c r="F59" s="23" t="s">
        <v>3</v>
      </c>
      <c r="G59" s="23" t="s">
        <v>79</v>
      </c>
      <c r="H59" s="14" t="str">
        <f>G58</f>
        <v>T3</v>
      </c>
      <c r="I59" s="14" t="str">
        <f>G59</f>
        <v>G1</v>
      </c>
    </row>
    <row r="60" spans="1:9" ht="15" customHeight="1" x14ac:dyDescent="0.3">
      <c r="A60" s="13"/>
      <c r="B60" s="14" t="s">
        <v>15</v>
      </c>
      <c r="C60" s="14" t="s">
        <v>2</v>
      </c>
      <c r="D60" s="14" t="str">
        <f>E60</f>
        <v>G5</v>
      </c>
      <c r="E60" s="23" t="s">
        <v>83</v>
      </c>
      <c r="F60" s="23" t="s">
        <v>3</v>
      </c>
      <c r="G60" s="23" t="s">
        <v>88</v>
      </c>
      <c r="H60" s="14" t="str">
        <f>E61</f>
        <v>G4</v>
      </c>
      <c r="I60" s="14"/>
    </row>
    <row r="61" spans="1:9" ht="15" customHeight="1" x14ac:dyDescent="0.3">
      <c r="A61" s="13"/>
      <c r="B61" s="14" t="s">
        <v>16</v>
      </c>
      <c r="C61" s="14" t="s">
        <v>2</v>
      </c>
      <c r="D61" s="14"/>
      <c r="E61" s="23" t="s">
        <v>82</v>
      </c>
      <c r="F61" s="23" t="s">
        <v>3</v>
      </c>
      <c r="G61" s="23" t="s">
        <v>85</v>
      </c>
      <c r="H61" s="14" t="str">
        <f>E62</f>
        <v>G6</v>
      </c>
      <c r="I61" s="14"/>
    </row>
    <row r="62" spans="1:9" ht="15" customHeight="1" x14ac:dyDescent="0.3">
      <c r="A62" s="13"/>
      <c r="B62" s="14" t="s">
        <v>17</v>
      </c>
      <c r="C62" s="14" t="s">
        <v>2</v>
      </c>
      <c r="D62" s="14"/>
      <c r="E62" s="23" t="s">
        <v>84</v>
      </c>
      <c r="F62" s="23" t="s">
        <v>3</v>
      </c>
      <c r="G62" s="23" t="s">
        <v>86</v>
      </c>
      <c r="H62" s="14" t="str">
        <f>G61</f>
        <v>G7</v>
      </c>
      <c r="I62" s="14" t="str">
        <f>G62</f>
        <v>G8</v>
      </c>
    </row>
    <row r="63" spans="1:9" ht="15" customHeight="1" x14ac:dyDescent="0.3">
      <c r="A63" s="17"/>
      <c r="B63" s="18"/>
      <c r="C63" s="18"/>
      <c r="D63" s="18"/>
      <c r="E63" s="18"/>
      <c r="F63" s="18"/>
      <c r="G63" s="18"/>
      <c r="H63" s="18"/>
      <c r="I63" s="18"/>
    </row>
    <row r="64" spans="1:9" ht="15" customHeight="1" x14ac:dyDescent="0.3">
      <c r="A64" s="17"/>
      <c r="B64" s="18"/>
      <c r="C64" s="18"/>
      <c r="D64" s="18"/>
      <c r="E64" s="18"/>
      <c r="F64" s="18"/>
      <c r="G64" s="18"/>
      <c r="H64" s="18"/>
      <c r="I64" s="18"/>
    </row>
    <row r="65" spans="1:9" ht="15" customHeight="1" x14ac:dyDescent="0.3">
      <c r="A65" s="9" t="s">
        <v>6</v>
      </c>
      <c r="B65" s="9" t="s">
        <v>7</v>
      </c>
      <c r="C65" s="9" t="s">
        <v>8</v>
      </c>
      <c r="D65" s="9" t="s">
        <v>9</v>
      </c>
      <c r="E65" s="9" t="s">
        <v>10</v>
      </c>
      <c r="F65" s="9"/>
      <c r="G65" s="9" t="s">
        <v>11</v>
      </c>
      <c r="H65" s="9" t="s">
        <v>12</v>
      </c>
      <c r="I65" s="9" t="s">
        <v>13</v>
      </c>
    </row>
    <row r="66" spans="1:9" ht="15" customHeight="1" x14ac:dyDescent="0.3">
      <c r="A66" s="13" t="s">
        <v>23</v>
      </c>
      <c r="B66" s="14" t="s">
        <v>15</v>
      </c>
      <c r="C66" s="14" t="s">
        <v>0</v>
      </c>
      <c r="D66" s="14" t="str">
        <f>G72</f>
        <v>G6</v>
      </c>
      <c r="E66" s="15" t="s">
        <v>56</v>
      </c>
      <c r="F66" s="15" t="s">
        <v>3</v>
      </c>
      <c r="G66" s="15" t="s">
        <v>51</v>
      </c>
      <c r="H66" s="14" t="str">
        <f>E67</f>
        <v>T7</v>
      </c>
      <c r="I66" s="14"/>
    </row>
    <row r="67" spans="1:9" ht="15" customHeight="1" x14ac:dyDescent="0.3">
      <c r="A67" s="16">
        <f>A55+7</f>
        <v>45168</v>
      </c>
      <c r="B67" s="14" t="s">
        <v>16</v>
      </c>
      <c r="C67" s="14" t="s">
        <v>0</v>
      </c>
      <c r="D67" s="14"/>
      <c r="E67" s="15" t="s">
        <v>68</v>
      </c>
      <c r="F67" s="15" t="s">
        <v>3</v>
      </c>
      <c r="G67" s="15" t="s">
        <v>52</v>
      </c>
      <c r="H67" s="14" t="str">
        <f>G66</f>
        <v>T3</v>
      </c>
      <c r="I67" s="14"/>
    </row>
    <row r="68" spans="1:9" ht="15" customHeight="1" x14ac:dyDescent="0.3">
      <c r="A68" s="13"/>
      <c r="B68" s="14" t="s">
        <v>17</v>
      </c>
      <c r="C68" s="14" t="s">
        <v>0</v>
      </c>
      <c r="D68" s="14"/>
      <c r="E68" s="15" t="s">
        <v>49</v>
      </c>
      <c r="F68" s="15" t="s">
        <v>3</v>
      </c>
      <c r="G68" s="15" t="s">
        <v>57</v>
      </c>
      <c r="H68" s="14" t="str">
        <f>G67</f>
        <v>T4</v>
      </c>
      <c r="I68" s="14" t="str">
        <f>G68</f>
        <v>T6</v>
      </c>
    </row>
    <row r="69" spans="1:9" ht="15" customHeight="1" x14ac:dyDescent="0.3">
      <c r="A69" s="13"/>
      <c r="B69" s="14" t="s">
        <v>15</v>
      </c>
      <c r="C69" s="14" t="s">
        <v>1</v>
      </c>
      <c r="D69" s="14" t="str">
        <f>E69</f>
        <v>G5</v>
      </c>
      <c r="E69" s="23" t="s">
        <v>83</v>
      </c>
      <c r="F69" s="23" t="s">
        <v>3</v>
      </c>
      <c r="G69" s="23" t="s">
        <v>87</v>
      </c>
      <c r="H69" s="14" t="str">
        <f>E70</f>
        <v>T2</v>
      </c>
      <c r="I69" s="14"/>
    </row>
    <row r="70" spans="1:9" ht="15" customHeight="1" x14ac:dyDescent="0.3">
      <c r="A70" s="16"/>
      <c r="B70" s="14" t="s">
        <v>16</v>
      </c>
      <c r="C70" s="14" t="s">
        <v>1</v>
      </c>
      <c r="D70" s="14"/>
      <c r="E70" s="15" t="s">
        <v>50</v>
      </c>
      <c r="F70" s="15" t="s">
        <v>3</v>
      </c>
      <c r="G70" s="15" t="s">
        <v>67</v>
      </c>
      <c r="H70" s="14" t="str">
        <f>E68</f>
        <v>T1</v>
      </c>
      <c r="I70" s="14"/>
    </row>
    <row r="71" spans="1:9" ht="15" customHeight="1" x14ac:dyDescent="0.3">
      <c r="A71" s="16"/>
      <c r="B71" s="14" t="s">
        <v>17</v>
      </c>
      <c r="C71" s="14" t="s">
        <v>1</v>
      </c>
      <c r="D71" s="14"/>
      <c r="E71" s="23" t="s">
        <v>79</v>
      </c>
      <c r="F71" s="23" t="s">
        <v>3</v>
      </c>
      <c r="G71" s="23" t="s">
        <v>82</v>
      </c>
      <c r="H71" s="14" t="str">
        <f>G70</f>
        <v>T8</v>
      </c>
      <c r="I71" s="14" t="str">
        <f>G71</f>
        <v>G4</v>
      </c>
    </row>
    <row r="72" spans="1:9" ht="15" customHeight="1" x14ac:dyDescent="0.3">
      <c r="A72" s="13"/>
      <c r="B72" s="14" t="s">
        <v>15</v>
      </c>
      <c r="C72" s="14" t="s">
        <v>2</v>
      </c>
      <c r="D72" s="14" t="str">
        <f>E72</f>
        <v>G10</v>
      </c>
      <c r="E72" s="23" t="s">
        <v>88</v>
      </c>
      <c r="F72" s="23" t="s">
        <v>3</v>
      </c>
      <c r="G72" s="23" t="s">
        <v>84</v>
      </c>
      <c r="H72" s="14" t="str">
        <f>E73</f>
        <v>G7</v>
      </c>
      <c r="I72" s="14"/>
    </row>
    <row r="73" spans="1:9" ht="15" customHeight="1" x14ac:dyDescent="0.3">
      <c r="A73" s="13"/>
      <c r="B73" s="14" t="s">
        <v>16</v>
      </c>
      <c r="C73" s="14" t="s">
        <v>2</v>
      </c>
      <c r="D73" s="14"/>
      <c r="E73" s="23" t="s">
        <v>85</v>
      </c>
      <c r="F73" s="23" t="s">
        <v>3</v>
      </c>
      <c r="G73" s="23" t="s">
        <v>81</v>
      </c>
      <c r="H73" s="14" t="str">
        <f>E74</f>
        <v>G8</v>
      </c>
      <c r="I73" s="14"/>
    </row>
    <row r="74" spans="1:9" ht="15" customHeight="1" x14ac:dyDescent="0.3">
      <c r="A74" s="13"/>
      <c r="B74" s="14" t="s">
        <v>17</v>
      </c>
      <c r="C74" s="14" t="s">
        <v>2</v>
      </c>
      <c r="D74" s="14"/>
      <c r="E74" s="23" t="s">
        <v>86</v>
      </c>
      <c r="F74" s="23" t="s">
        <v>3</v>
      </c>
      <c r="G74" s="23" t="s">
        <v>80</v>
      </c>
      <c r="H74" s="14" t="str">
        <f>G73</f>
        <v>G3</v>
      </c>
      <c r="I74" s="14" t="str">
        <f>G74</f>
        <v>G2</v>
      </c>
    </row>
    <row r="75" spans="1:9" ht="15" customHeight="1" x14ac:dyDescent="0.3">
      <c r="A75" s="17"/>
      <c r="B75" s="18"/>
      <c r="C75" s="18"/>
      <c r="D75" s="18"/>
      <c r="E75" s="18"/>
      <c r="F75" s="18"/>
      <c r="G75" s="18"/>
      <c r="H75" s="18"/>
      <c r="I75" s="18"/>
    </row>
    <row r="76" spans="1:9" ht="15" customHeight="1" x14ac:dyDescent="0.3">
      <c r="A76" s="13" t="s">
        <v>24</v>
      </c>
      <c r="B76" s="14" t="s">
        <v>15</v>
      </c>
      <c r="C76" s="14" t="s">
        <v>0</v>
      </c>
      <c r="D76" s="14" t="str">
        <f>G82</f>
        <v>G5</v>
      </c>
      <c r="E76" s="15" t="s">
        <v>57</v>
      </c>
      <c r="F76" s="15" t="s">
        <v>3</v>
      </c>
      <c r="G76" s="15" t="s">
        <v>50</v>
      </c>
      <c r="H76" s="14" t="str">
        <f>E77</f>
        <v>T4</v>
      </c>
      <c r="I76" s="14"/>
    </row>
    <row r="77" spans="1:9" ht="15" customHeight="1" x14ac:dyDescent="0.3">
      <c r="A77" s="16">
        <f>A67+7</f>
        <v>45175</v>
      </c>
      <c r="B77" s="14" t="s">
        <v>16</v>
      </c>
      <c r="C77" s="14" t="s">
        <v>0</v>
      </c>
      <c r="D77" s="14"/>
      <c r="E77" s="15" t="s">
        <v>52</v>
      </c>
      <c r="F77" s="15" t="s">
        <v>3</v>
      </c>
      <c r="G77" s="15" t="s">
        <v>67</v>
      </c>
      <c r="H77" s="14" t="str">
        <f>G76</f>
        <v>T2</v>
      </c>
      <c r="I77" s="14"/>
    </row>
    <row r="78" spans="1:9" ht="15" customHeight="1" x14ac:dyDescent="0.3">
      <c r="A78" s="13"/>
      <c r="B78" s="14" t="s">
        <v>17</v>
      </c>
      <c r="C78" s="14" t="s">
        <v>0</v>
      </c>
      <c r="D78" s="14"/>
      <c r="E78" s="15" t="s">
        <v>51</v>
      </c>
      <c r="F78" s="15" t="s">
        <v>3</v>
      </c>
      <c r="G78" s="15" t="s">
        <v>68</v>
      </c>
      <c r="H78" s="14" t="str">
        <f>G77</f>
        <v>T8</v>
      </c>
      <c r="I78" s="14" t="str">
        <f>G78</f>
        <v>T7</v>
      </c>
    </row>
    <row r="79" spans="1:9" ht="15" customHeight="1" x14ac:dyDescent="0.3">
      <c r="A79" s="13"/>
      <c r="B79" s="14" t="s">
        <v>15</v>
      </c>
      <c r="C79" s="14" t="s">
        <v>1</v>
      </c>
      <c r="D79" s="14" t="str">
        <f>E79</f>
        <v>G10</v>
      </c>
      <c r="E79" s="23" t="s">
        <v>88</v>
      </c>
      <c r="F79" s="23" t="s">
        <v>3</v>
      </c>
      <c r="G79" s="23" t="s">
        <v>87</v>
      </c>
      <c r="H79" s="14" t="str">
        <f>E80</f>
        <v>T5</v>
      </c>
      <c r="I79" s="14"/>
    </row>
    <row r="80" spans="1:9" ht="15" customHeight="1" x14ac:dyDescent="0.3">
      <c r="A80" s="16"/>
      <c r="B80" s="14" t="s">
        <v>16</v>
      </c>
      <c r="C80" s="14" t="s">
        <v>1</v>
      </c>
      <c r="D80" s="14"/>
      <c r="E80" s="15" t="s">
        <v>56</v>
      </c>
      <c r="F80" s="15" t="s">
        <v>3</v>
      </c>
      <c r="G80" s="15" t="s">
        <v>49</v>
      </c>
      <c r="H80" s="14" t="str">
        <f>E78</f>
        <v>T3</v>
      </c>
      <c r="I80" s="14"/>
    </row>
    <row r="81" spans="1:9" ht="15" customHeight="1" x14ac:dyDescent="0.3">
      <c r="A81" s="16"/>
      <c r="B81" s="14" t="s">
        <v>17</v>
      </c>
      <c r="C81" s="14" t="s">
        <v>1</v>
      </c>
      <c r="D81" s="14"/>
      <c r="E81" s="23" t="s">
        <v>85</v>
      </c>
      <c r="F81" s="23" t="s">
        <v>3</v>
      </c>
      <c r="G81" s="23" t="s">
        <v>79</v>
      </c>
      <c r="H81" s="14" t="str">
        <f>G80</f>
        <v>T1</v>
      </c>
      <c r="I81" s="14" t="str">
        <f>G81</f>
        <v>G1</v>
      </c>
    </row>
    <row r="82" spans="1:9" ht="15" customHeight="1" x14ac:dyDescent="0.3">
      <c r="A82" s="13"/>
      <c r="B82" s="14" t="s">
        <v>15</v>
      </c>
      <c r="C82" s="14" t="s">
        <v>2</v>
      </c>
      <c r="D82" s="14" t="str">
        <f>E82</f>
        <v>G8</v>
      </c>
      <c r="E82" s="23" t="s">
        <v>86</v>
      </c>
      <c r="F82" s="23" t="s">
        <v>3</v>
      </c>
      <c r="G82" s="23" t="s">
        <v>83</v>
      </c>
      <c r="H82" s="14" t="str">
        <f>E83</f>
        <v>G2</v>
      </c>
      <c r="I82" s="14"/>
    </row>
    <row r="83" spans="1:9" ht="15" customHeight="1" x14ac:dyDescent="0.3">
      <c r="A83" s="13"/>
      <c r="B83" s="14" t="s">
        <v>16</v>
      </c>
      <c r="C83" s="14" t="s">
        <v>2</v>
      </c>
      <c r="D83" s="14"/>
      <c r="E83" s="23" t="s">
        <v>80</v>
      </c>
      <c r="F83" s="23" t="s">
        <v>3</v>
      </c>
      <c r="G83" s="23" t="s">
        <v>82</v>
      </c>
      <c r="H83" s="14" t="str">
        <f>E84</f>
        <v>G3</v>
      </c>
      <c r="I83" s="14"/>
    </row>
    <row r="84" spans="1:9" ht="15" customHeight="1" x14ac:dyDescent="0.3">
      <c r="A84" s="13"/>
      <c r="B84" s="14" t="s">
        <v>17</v>
      </c>
      <c r="C84" s="14" t="s">
        <v>2</v>
      </c>
      <c r="D84" s="14"/>
      <c r="E84" s="23" t="s">
        <v>81</v>
      </c>
      <c r="F84" s="23" t="s">
        <v>3</v>
      </c>
      <c r="G84" s="23" t="s">
        <v>84</v>
      </c>
      <c r="H84" s="14" t="str">
        <f>G83</f>
        <v>G4</v>
      </c>
      <c r="I84" s="14" t="str">
        <f>G84</f>
        <v>G6</v>
      </c>
    </row>
    <row r="85" spans="1:9" ht="15" customHeight="1" x14ac:dyDescent="0.3">
      <c r="A85" s="17"/>
      <c r="B85" s="18"/>
      <c r="C85" s="18"/>
      <c r="D85" s="18"/>
      <c r="E85" s="18"/>
      <c r="F85" s="18"/>
      <c r="G85" s="18"/>
      <c r="H85" s="18"/>
      <c r="I85" s="18"/>
    </row>
    <row r="86" spans="1:9" ht="15" customHeight="1" x14ac:dyDescent="0.3">
      <c r="A86" s="13" t="s">
        <v>26</v>
      </c>
      <c r="B86" s="14" t="s">
        <v>15</v>
      </c>
      <c r="C86" s="14" t="s">
        <v>0</v>
      </c>
      <c r="D86" s="14" t="str">
        <f>G92</f>
        <v>G2</v>
      </c>
      <c r="E86" s="15" t="s">
        <v>57</v>
      </c>
      <c r="F86" s="15" t="s">
        <v>3</v>
      </c>
      <c r="G86" s="15" t="s">
        <v>51</v>
      </c>
      <c r="H86" s="14" t="str">
        <f>E87</f>
        <v>T8</v>
      </c>
      <c r="I86" s="14"/>
    </row>
    <row r="87" spans="1:9" ht="15" customHeight="1" x14ac:dyDescent="0.3">
      <c r="A87" s="16">
        <f>A77+7</f>
        <v>45182</v>
      </c>
      <c r="B87" s="14" t="s">
        <v>16</v>
      </c>
      <c r="C87" s="14" t="s">
        <v>0</v>
      </c>
      <c r="D87" s="14"/>
      <c r="E87" s="15" t="s">
        <v>67</v>
      </c>
      <c r="F87" s="15" t="s">
        <v>3</v>
      </c>
      <c r="G87" s="15" t="s">
        <v>56</v>
      </c>
      <c r="H87" s="14" t="str">
        <f>G86</f>
        <v>T3</v>
      </c>
      <c r="I87" s="14"/>
    </row>
    <row r="88" spans="1:9" ht="15" customHeight="1" x14ac:dyDescent="0.3">
      <c r="A88" s="13"/>
      <c r="B88" s="14" t="s">
        <v>17</v>
      </c>
      <c r="C88" s="14" t="s">
        <v>0</v>
      </c>
      <c r="D88" s="14"/>
      <c r="E88" s="15" t="s">
        <v>50</v>
      </c>
      <c r="F88" s="15" t="s">
        <v>3</v>
      </c>
      <c r="G88" s="15" t="s">
        <v>52</v>
      </c>
      <c r="H88" s="14" t="str">
        <f>G87</f>
        <v>T5</v>
      </c>
      <c r="I88" s="14" t="str">
        <f>G88</f>
        <v>T4</v>
      </c>
    </row>
    <row r="89" spans="1:9" ht="15" customHeight="1" x14ac:dyDescent="0.3">
      <c r="A89" s="13"/>
      <c r="B89" s="14" t="s">
        <v>15</v>
      </c>
      <c r="C89" s="14" t="s">
        <v>1</v>
      </c>
      <c r="D89" s="14" t="str">
        <f>E89</f>
        <v>G4</v>
      </c>
      <c r="E89" s="23" t="s">
        <v>82</v>
      </c>
      <c r="F89" s="23" t="s">
        <v>3</v>
      </c>
      <c r="G89" s="23" t="s">
        <v>84</v>
      </c>
      <c r="H89" s="14" t="str">
        <f>E90</f>
        <v>T7</v>
      </c>
      <c r="I89" s="14"/>
    </row>
    <row r="90" spans="1:9" ht="15" customHeight="1" x14ac:dyDescent="0.3">
      <c r="A90" s="16"/>
      <c r="B90" s="14" t="s">
        <v>16</v>
      </c>
      <c r="C90" s="14" t="s">
        <v>1</v>
      </c>
      <c r="D90" s="14"/>
      <c r="E90" s="15" t="s">
        <v>68</v>
      </c>
      <c r="F90" s="15" t="s">
        <v>3</v>
      </c>
      <c r="G90" s="15" t="s">
        <v>49</v>
      </c>
      <c r="H90" s="14" t="str">
        <f>E88</f>
        <v>T2</v>
      </c>
      <c r="I90" s="14"/>
    </row>
    <row r="91" spans="1:9" ht="15" customHeight="1" x14ac:dyDescent="0.3">
      <c r="A91" s="16"/>
      <c r="B91" s="14" t="s">
        <v>17</v>
      </c>
      <c r="C91" s="14" t="s">
        <v>1</v>
      </c>
      <c r="D91" s="14"/>
      <c r="E91" s="23" t="s">
        <v>83</v>
      </c>
      <c r="F91" s="23" t="s">
        <v>3</v>
      </c>
      <c r="G91" s="23" t="s">
        <v>81</v>
      </c>
      <c r="H91" s="14" t="str">
        <f>G90</f>
        <v>T1</v>
      </c>
      <c r="I91" s="14" t="str">
        <f>G91</f>
        <v>G3</v>
      </c>
    </row>
    <row r="92" spans="1:9" ht="15" customHeight="1" x14ac:dyDescent="0.3">
      <c r="A92" s="13"/>
      <c r="B92" s="14" t="s">
        <v>15</v>
      </c>
      <c r="C92" s="14" t="s">
        <v>2</v>
      </c>
      <c r="D92" s="14" t="str">
        <f>E92</f>
        <v>G1</v>
      </c>
      <c r="E92" s="23" t="s">
        <v>79</v>
      </c>
      <c r="F92" s="23" t="s">
        <v>3</v>
      </c>
      <c r="G92" s="23" t="s">
        <v>80</v>
      </c>
      <c r="H92" s="14" t="str">
        <f>E93</f>
        <v>G10</v>
      </c>
      <c r="I92" s="14"/>
    </row>
    <row r="93" spans="1:9" ht="15" customHeight="1" x14ac:dyDescent="0.3">
      <c r="A93" s="13"/>
      <c r="B93" s="14" t="s">
        <v>16</v>
      </c>
      <c r="C93" s="14" t="s">
        <v>2</v>
      </c>
      <c r="D93" s="14"/>
      <c r="E93" s="23" t="s">
        <v>88</v>
      </c>
      <c r="F93" s="23" t="s">
        <v>3</v>
      </c>
      <c r="G93" s="23" t="s">
        <v>86</v>
      </c>
      <c r="H93" s="14" t="str">
        <f>E94</f>
        <v>G9</v>
      </c>
      <c r="I93" s="14"/>
    </row>
    <row r="94" spans="1:9" ht="15" customHeight="1" x14ac:dyDescent="0.3">
      <c r="A94" s="13"/>
      <c r="B94" s="14" t="s">
        <v>17</v>
      </c>
      <c r="C94" s="14" t="s">
        <v>2</v>
      </c>
      <c r="D94" s="14"/>
      <c r="E94" s="23" t="s">
        <v>87</v>
      </c>
      <c r="F94" s="23" t="s">
        <v>3</v>
      </c>
      <c r="G94" s="23" t="s">
        <v>85</v>
      </c>
      <c r="H94" s="14" t="str">
        <f>G93</f>
        <v>G8</v>
      </c>
      <c r="I94" s="14" t="str">
        <f>G94</f>
        <v>G7</v>
      </c>
    </row>
    <row r="95" spans="1:9" ht="15" customHeight="1" x14ac:dyDescent="0.3">
      <c r="A95" s="17"/>
      <c r="B95" s="18"/>
      <c r="C95" s="18"/>
      <c r="D95" s="18"/>
      <c r="E95" s="18"/>
      <c r="F95" s="18"/>
      <c r="G95" s="18"/>
      <c r="H95" s="18"/>
      <c r="I95" s="18"/>
    </row>
    <row r="96" spans="1:9" ht="15" customHeight="1" x14ac:dyDescent="0.3">
      <c r="A96" s="147" t="s">
        <v>71</v>
      </c>
      <c r="B96" s="148"/>
      <c r="C96" s="149"/>
      <c r="D96" s="147" t="s">
        <v>25</v>
      </c>
      <c r="E96" s="148"/>
      <c r="F96" s="148"/>
      <c r="G96" s="148"/>
      <c r="H96" s="148"/>
      <c r="I96" s="149"/>
    </row>
    <row r="97" spans="1:9" ht="15" customHeight="1" x14ac:dyDescent="0.3">
      <c r="A97" s="9" t="s">
        <v>6</v>
      </c>
      <c r="B97" s="9" t="s">
        <v>7</v>
      </c>
      <c r="C97" s="9" t="s">
        <v>8</v>
      </c>
      <c r="D97" s="9" t="s">
        <v>9</v>
      </c>
      <c r="E97" s="9" t="s">
        <v>10</v>
      </c>
      <c r="F97" s="9"/>
      <c r="G97" s="9" t="s">
        <v>11</v>
      </c>
      <c r="H97" s="9" t="s">
        <v>12</v>
      </c>
      <c r="I97" s="9" t="s">
        <v>13</v>
      </c>
    </row>
    <row r="98" spans="1:9" ht="15" customHeight="1" x14ac:dyDescent="0.3">
      <c r="A98" s="13" t="s">
        <v>27</v>
      </c>
      <c r="B98" s="14" t="s">
        <v>15</v>
      </c>
      <c r="C98" s="14" t="s">
        <v>0</v>
      </c>
      <c r="D98" s="14" t="str">
        <f>G104</f>
        <v>G3</v>
      </c>
      <c r="E98" s="15" t="s">
        <v>49</v>
      </c>
      <c r="F98" s="15" t="s">
        <v>3</v>
      </c>
      <c r="G98" s="15" t="s">
        <v>57</v>
      </c>
      <c r="H98" s="14" t="str">
        <f>E99</f>
        <v>T5</v>
      </c>
      <c r="I98" s="14"/>
    </row>
    <row r="99" spans="1:9" ht="15" customHeight="1" x14ac:dyDescent="0.3">
      <c r="A99" s="16">
        <v>45203</v>
      </c>
      <c r="B99" s="14" t="s">
        <v>16</v>
      </c>
      <c r="C99" s="14" t="s">
        <v>0</v>
      </c>
      <c r="D99" s="14"/>
      <c r="E99" s="15" t="s">
        <v>56</v>
      </c>
      <c r="F99" s="15" t="s">
        <v>3</v>
      </c>
      <c r="G99" s="15" t="s">
        <v>52</v>
      </c>
      <c r="H99" s="14" t="str">
        <f>G98</f>
        <v>T6</v>
      </c>
      <c r="I99" s="14"/>
    </row>
    <row r="100" spans="1:9" ht="15" customHeight="1" x14ac:dyDescent="0.3">
      <c r="A100" s="13"/>
      <c r="B100" s="14" t="s">
        <v>17</v>
      </c>
      <c r="C100" s="14" t="s">
        <v>0</v>
      </c>
      <c r="D100" s="14"/>
      <c r="E100" s="15" t="s">
        <v>51</v>
      </c>
      <c r="F100" s="15" t="s">
        <v>3</v>
      </c>
      <c r="G100" s="15" t="s">
        <v>50</v>
      </c>
      <c r="H100" s="14" t="str">
        <f>G99</f>
        <v>T4</v>
      </c>
      <c r="I100" s="14" t="str">
        <f>G100</f>
        <v>T2</v>
      </c>
    </row>
    <row r="101" spans="1:9" ht="15" customHeight="1" x14ac:dyDescent="0.3">
      <c r="A101" s="13"/>
      <c r="B101" s="14" t="s">
        <v>15</v>
      </c>
      <c r="C101" s="14" t="s">
        <v>1</v>
      </c>
      <c r="D101" s="14" t="str">
        <f>E101</f>
        <v>G2</v>
      </c>
      <c r="E101" s="23" t="s">
        <v>80</v>
      </c>
      <c r="F101" s="23" t="s">
        <v>3</v>
      </c>
      <c r="G101" s="23" t="s">
        <v>85</v>
      </c>
      <c r="H101" s="14" t="str">
        <f>E102</f>
        <v>T7</v>
      </c>
      <c r="I101" s="14"/>
    </row>
    <row r="102" spans="1:9" ht="15" customHeight="1" x14ac:dyDescent="0.3">
      <c r="A102" s="16"/>
      <c r="B102" s="14" t="s">
        <v>16</v>
      </c>
      <c r="C102" s="14" t="s">
        <v>1</v>
      </c>
      <c r="D102" s="14"/>
      <c r="E102" s="15" t="s">
        <v>68</v>
      </c>
      <c r="F102" s="15" t="s">
        <v>3</v>
      </c>
      <c r="G102" s="15" t="s">
        <v>67</v>
      </c>
      <c r="H102" s="14" t="str">
        <f>E100</f>
        <v>T3</v>
      </c>
      <c r="I102" s="14"/>
    </row>
    <row r="103" spans="1:9" ht="15" customHeight="1" x14ac:dyDescent="0.3">
      <c r="A103" s="16"/>
      <c r="B103" s="14" t="s">
        <v>17</v>
      </c>
      <c r="C103" s="14" t="s">
        <v>1</v>
      </c>
      <c r="D103" s="14"/>
      <c r="E103" s="23" t="s">
        <v>86</v>
      </c>
      <c r="F103" s="23" t="s">
        <v>3</v>
      </c>
      <c r="G103" s="23" t="s">
        <v>87</v>
      </c>
      <c r="H103" s="14" t="str">
        <f>G102</f>
        <v>T8</v>
      </c>
      <c r="I103" s="14" t="str">
        <f>G103</f>
        <v>G9</v>
      </c>
    </row>
    <row r="104" spans="1:9" ht="15" customHeight="1" x14ac:dyDescent="0.3">
      <c r="A104" s="13"/>
      <c r="B104" s="14" t="s">
        <v>15</v>
      </c>
      <c r="C104" s="14" t="s">
        <v>2</v>
      </c>
      <c r="D104" s="14" t="str">
        <f>E104</f>
        <v>G10</v>
      </c>
      <c r="E104" s="23" t="s">
        <v>88</v>
      </c>
      <c r="F104" s="23" t="s">
        <v>3</v>
      </c>
      <c r="G104" s="23" t="s">
        <v>81</v>
      </c>
      <c r="H104" s="14" t="str">
        <f>E105</f>
        <v>G6</v>
      </c>
      <c r="I104" s="14"/>
    </row>
    <row r="105" spans="1:9" ht="15" customHeight="1" x14ac:dyDescent="0.3">
      <c r="A105" s="13"/>
      <c r="B105" s="14" t="s">
        <v>16</v>
      </c>
      <c r="C105" s="14" t="s">
        <v>2</v>
      </c>
      <c r="D105" s="14"/>
      <c r="E105" s="23" t="s">
        <v>84</v>
      </c>
      <c r="F105" s="23" t="s">
        <v>3</v>
      </c>
      <c r="G105" s="23" t="s">
        <v>79</v>
      </c>
      <c r="H105" s="14" t="str">
        <f>G104</f>
        <v>G3</v>
      </c>
      <c r="I105" s="14"/>
    </row>
    <row r="106" spans="1:9" ht="15" customHeight="1" x14ac:dyDescent="0.3">
      <c r="A106" s="13"/>
      <c r="B106" s="14" t="s">
        <v>17</v>
      </c>
      <c r="C106" s="14" t="s">
        <v>2</v>
      </c>
      <c r="D106" s="14"/>
      <c r="E106" s="23" t="s">
        <v>82</v>
      </c>
      <c r="F106" s="23" t="s">
        <v>3</v>
      </c>
      <c r="G106" s="23" t="s">
        <v>83</v>
      </c>
      <c r="H106" s="14" t="str">
        <f>G105</f>
        <v>G1</v>
      </c>
      <c r="I106" s="14" t="str">
        <f>G106</f>
        <v>G5</v>
      </c>
    </row>
    <row r="107" spans="1:9" ht="15" customHeight="1" x14ac:dyDescent="0.3">
      <c r="A107" s="17"/>
      <c r="B107" s="18"/>
      <c r="C107" s="18"/>
      <c r="D107" s="18"/>
      <c r="E107" s="18"/>
      <c r="F107" s="18"/>
      <c r="G107" s="18"/>
      <c r="H107" s="18"/>
      <c r="I107" s="18"/>
    </row>
    <row r="108" spans="1:9" ht="15" customHeight="1" x14ac:dyDescent="0.3">
      <c r="A108" s="13" t="s">
        <v>28</v>
      </c>
      <c r="B108" s="14" t="s">
        <v>15</v>
      </c>
      <c r="C108" s="14" t="s">
        <v>0</v>
      </c>
      <c r="D108" s="14" t="str">
        <f>G114</f>
        <v>G6</v>
      </c>
      <c r="E108" s="15" t="s">
        <v>52</v>
      </c>
      <c r="F108" s="15" t="s">
        <v>3</v>
      </c>
      <c r="G108" s="15" t="s">
        <v>68</v>
      </c>
      <c r="H108" s="14" t="str">
        <f>E109</f>
        <v>T6</v>
      </c>
      <c r="I108" s="14"/>
    </row>
    <row r="109" spans="1:9" ht="15" customHeight="1" x14ac:dyDescent="0.3">
      <c r="A109" s="16">
        <f>A99+7</f>
        <v>45210</v>
      </c>
      <c r="B109" s="14" t="s">
        <v>16</v>
      </c>
      <c r="C109" s="14" t="s">
        <v>0</v>
      </c>
      <c r="D109" s="14"/>
      <c r="E109" s="15" t="s">
        <v>57</v>
      </c>
      <c r="F109" s="15" t="s">
        <v>3</v>
      </c>
      <c r="G109" s="15" t="s">
        <v>67</v>
      </c>
      <c r="H109" s="14" t="str">
        <f>G108</f>
        <v>T7</v>
      </c>
      <c r="I109" s="14"/>
    </row>
    <row r="110" spans="1:9" ht="15" customHeight="1" x14ac:dyDescent="0.3">
      <c r="A110" s="16"/>
      <c r="B110" s="14" t="s">
        <v>17</v>
      </c>
      <c r="C110" s="14" t="s">
        <v>0</v>
      </c>
      <c r="D110" s="14"/>
      <c r="E110" s="15" t="s">
        <v>50</v>
      </c>
      <c r="F110" s="15" t="s">
        <v>3</v>
      </c>
      <c r="G110" s="15" t="s">
        <v>56</v>
      </c>
      <c r="H110" s="14" t="str">
        <f>G109</f>
        <v>T8</v>
      </c>
      <c r="I110" s="14" t="str">
        <f>G110</f>
        <v>T5</v>
      </c>
    </row>
    <row r="111" spans="1:9" ht="15" customHeight="1" x14ac:dyDescent="0.3">
      <c r="A111" s="13"/>
      <c r="B111" s="14" t="s">
        <v>15</v>
      </c>
      <c r="C111" s="14" t="s">
        <v>1</v>
      </c>
      <c r="D111" s="14" t="str">
        <f>E111</f>
        <v>G9</v>
      </c>
      <c r="E111" s="23" t="s">
        <v>87</v>
      </c>
      <c r="F111" s="23" t="s">
        <v>3</v>
      </c>
      <c r="G111" s="23" t="s">
        <v>80</v>
      </c>
      <c r="H111" s="14" t="str">
        <f>E112</f>
        <v>T3</v>
      </c>
      <c r="I111" s="14"/>
    </row>
    <row r="112" spans="1:9" ht="15" customHeight="1" x14ac:dyDescent="0.3">
      <c r="A112" s="13"/>
      <c r="B112" s="14" t="s">
        <v>16</v>
      </c>
      <c r="C112" s="14" t="s">
        <v>1</v>
      </c>
      <c r="D112" s="14"/>
      <c r="E112" s="15" t="s">
        <v>51</v>
      </c>
      <c r="F112" s="15" t="s">
        <v>3</v>
      </c>
      <c r="G112" s="15" t="s">
        <v>49</v>
      </c>
      <c r="H112" s="14" t="str">
        <f>E110</f>
        <v>T2</v>
      </c>
      <c r="I112" s="14"/>
    </row>
    <row r="113" spans="1:9" ht="15" customHeight="1" x14ac:dyDescent="0.3">
      <c r="A113" s="16"/>
      <c r="B113" s="14" t="s">
        <v>17</v>
      </c>
      <c r="C113" s="14" t="s">
        <v>1</v>
      </c>
      <c r="D113" s="14"/>
      <c r="E113" s="23" t="s">
        <v>86</v>
      </c>
      <c r="F113" s="23" t="s">
        <v>3</v>
      </c>
      <c r="G113" s="23" t="s">
        <v>81</v>
      </c>
      <c r="H113" s="14" t="str">
        <f>G112</f>
        <v>T1</v>
      </c>
      <c r="I113" s="14" t="str">
        <f>G113</f>
        <v>G3</v>
      </c>
    </row>
    <row r="114" spans="1:9" ht="15" customHeight="1" x14ac:dyDescent="0.3">
      <c r="A114" s="16"/>
      <c r="B114" s="14" t="s">
        <v>15</v>
      </c>
      <c r="C114" s="14" t="s">
        <v>2</v>
      </c>
      <c r="D114" s="14" t="str">
        <f>E114</f>
        <v>G7</v>
      </c>
      <c r="E114" s="23" t="s">
        <v>85</v>
      </c>
      <c r="F114" s="23" t="s">
        <v>3</v>
      </c>
      <c r="G114" s="23" t="s">
        <v>84</v>
      </c>
      <c r="H114" s="14" t="str">
        <f>E115</f>
        <v>G10</v>
      </c>
      <c r="I114" s="14"/>
    </row>
    <row r="115" spans="1:9" ht="15" customHeight="1" x14ac:dyDescent="0.3">
      <c r="A115" s="13"/>
      <c r="B115" s="14" t="s">
        <v>16</v>
      </c>
      <c r="C115" s="14" t="s">
        <v>2</v>
      </c>
      <c r="D115" s="14"/>
      <c r="E115" s="23" t="s">
        <v>88</v>
      </c>
      <c r="F115" s="23" t="s">
        <v>3</v>
      </c>
      <c r="G115" s="23" t="s">
        <v>82</v>
      </c>
      <c r="H115" s="14" t="str">
        <f>E116</f>
        <v>G1</v>
      </c>
      <c r="I115" s="14"/>
    </row>
    <row r="116" spans="1:9" ht="15" customHeight="1" x14ac:dyDescent="0.3">
      <c r="A116" s="13"/>
      <c r="B116" s="14" t="s">
        <v>17</v>
      </c>
      <c r="C116" s="14" t="s">
        <v>2</v>
      </c>
      <c r="D116" s="14"/>
      <c r="E116" s="23" t="s">
        <v>79</v>
      </c>
      <c r="F116" s="23" t="s">
        <v>3</v>
      </c>
      <c r="G116" s="23" t="s">
        <v>83</v>
      </c>
      <c r="H116" s="14" t="str">
        <f>G115</f>
        <v>G4</v>
      </c>
      <c r="I116" s="14" t="str">
        <f>G116</f>
        <v>G5</v>
      </c>
    </row>
    <row r="117" spans="1:9" ht="15" customHeight="1" x14ac:dyDescent="0.3">
      <c r="A117" s="17"/>
      <c r="B117" s="18"/>
      <c r="C117" s="18"/>
      <c r="D117" s="18"/>
      <c r="E117" s="18"/>
      <c r="F117" s="18"/>
      <c r="G117" s="18"/>
      <c r="H117" s="18"/>
      <c r="I117" s="18"/>
    </row>
    <row r="118" spans="1:9" ht="15" customHeight="1" x14ac:dyDescent="0.3">
      <c r="A118" s="13" t="s">
        <v>29</v>
      </c>
      <c r="B118" s="14" t="s">
        <v>15</v>
      </c>
      <c r="C118" s="14" t="s">
        <v>0</v>
      </c>
      <c r="D118" s="14" t="str">
        <f>G124</f>
        <v>G8</v>
      </c>
      <c r="E118" s="15" t="s">
        <v>50</v>
      </c>
      <c r="F118" s="15" t="s">
        <v>3</v>
      </c>
      <c r="G118" s="15" t="s">
        <v>49</v>
      </c>
      <c r="H118" s="14" t="str">
        <f>E119</f>
        <v>T7</v>
      </c>
      <c r="I118" s="14"/>
    </row>
    <row r="119" spans="1:9" ht="15" customHeight="1" x14ac:dyDescent="0.3">
      <c r="A119" s="16">
        <f>A109+7</f>
        <v>45217</v>
      </c>
      <c r="B119" s="14" t="s">
        <v>16</v>
      </c>
      <c r="C119" s="14" t="s">
        <v>0</v>
      </c>
      <c r="D119" s="14"/>
      <c r="E119" s="15" t="s">
        <v>68</v>
      </c>
      <c r="F119" s="15" t="s">
        <v>3</v>
      </c>
      <c r="G119" s="15" t="s">
        <v>56</v>
      </c>
      <c r="H119" s="14" t="str">
        <f>G118</f>
        <v>T1</v>
      </c>
      <c r="I119" s="14"/>
    </row>
    <row r="120" spans="1:9" ht="15" customHeight="1" x14ac:dyDescent="0.3">
      <c r="A120" s="13"/>
      <c r="B120" s="14" t="s">
        <v>17</v>
      </c>
      <c r="C120" s="14" t="s">
        <v>0</v>
      </c>
      <c r="D120" s="14"/>
      <c r="E120" s="15" t="s">
        <v>57</v>
      </c>
      <c r="F120" s="15" t="s">
        <v>3</v>
      </c>
      <c r="G120" s="15" t="s">
        <v>52</v>
      </c>
      <c r="H120" s="14" t="str">
        <f>G119</f>
        <v>T5</v>
      </c>
      <c r="I120" s="14" t="str">
        <f>G120</f>
        <v>T4</v>
      </c>
    </row>
    <row r="121" spans="1:9" ht="15" customHeight="1" x14ac:dyDescent="0.3">
      <c r="A121" s="13"/>
      <c r="B121" s="14" t="s">
        <v>15</v>
      </c>
      <c r="C121" s="14" t="s">
        <v>1</v>
      </c>
      <c r="D121" s="14" t="str">
        <f>E121</f>
        <v>G3</v>
      </c>
      <c r="E121" s="23" t="s">
        <v>81</v>
      </c>
      <c r="F121" s="23" t="s">
        <v>3</v>
      </c>
      <c r="G121" s="23" t="s">
        <v>87</v>
      </c>
      <c r="H121" s="14" t="str">
        <f>E122</f>
        <v>T8</v>
      </c>
      <c r="I121" s="14"/>
    </row>
    <row r="122" spans="1:9" ht="15" customHeight="1" x14ac:dyDescent="0.3">
      <c r="A122" s="16"/>
      <c r="B122" s="14" t="s">
        <v>16</v>
      </c>
      <c r="C122" s="14" t="s">
        <v>1</v>
      </c>
      <c r="D122" s="14"/>
      <c r="E122" s="15" t="s">
        <v>67</v>
      </c>
      <c r="F122" s="15" t="s">
        <v>3</v>
      </c>
      <c r="G122" s="15" t="s">
        <v>51</v>
      </c>
      <c r="H122" s="14" t="str">
        <f>E120</f>
        <v>T6</v>
      </c>
      <c r="I122" s="14"/>
    </row>
    <row r="123" spans="1:9" ht="15" customHeight="1" x14ac:dyDescent="0.3">
      <c r="A123" s="16"/>
      <c r="B123" s="14" t="s">
        <v>17</v>
      </c>
      <c r="C123" s="14" t="s">
        <v>1</v>
      </c>
      <c r="D123" s="14"/>
      <c r="E123" s="23" t="s">
        <v>84</v>
      </c>
      <c r="F123" s="23" t="s">
        <v>3</v>
      </c>
      <c r="G123" s="23" t="s">
        <v>80</v>
      </c>
      <c r="H123" s="14" t="str">
        <f>G122</f>
        <v>T3</v>
      </c>
      <c r="I123" s="14" t="str">
        <f>G123</f>
        <v>G2</v>
      </c>
    </row>
    <row r="124" spans="1:9" ht="15" customHeight="1" x14ac:dyDescent="0.3">
      <c r="A124" s="13"/>
      <c r="B124" s="14" t="s">
        <v>15</v>
      </c>
      <c r="C124" s="14" t="s">
        <v>2</v>
      </c>
      <c r="D124" s="14" t="str">
        <f>E124</f>
        <v>G4</v>
      </c>
      <c r="E124" s="23" t="s">
        <v>82</v>
      </c>
      <c r="F124" s="23" t="s">
        <v>3</v>
      </c>
      <c r="G124" s="23" t="s">
        <v>86</v>
      </c>
      <c r="H124" s="14" t="str">
        <f>E125</f>
        <v>G5</v>
      </c>
      <c r="I124" s="14"/>
    </row>
    <row r="125" spans="1:9" ht="15" customHeight="1" x14ac:dyDescent="0.3">
      <c r="A125" s="13"/>
      <c r="B125" s="14" t="s">
        <v>16</v>
      </c>
      <c r="C125" s="14" t="s">
        <v>2</v>
      </c>
      <c r="D125" s="14"/>
      <c r="E125" s="23" t="s">
        <v>83</v>
      </c>
      <c r="F125" s="23" t="s">
        <v>3</v>
      </c>
      <c r="G125" s="23" t="s">
        <v>85</v>
      </c>
      <c r="H125" s="14" t="str">
        <f>E126</f>
        <v>G1</v>
      </c>
      <c r="I125" s="14"/>
    </row>
    <row r="126" spans="1:9" ht="15" customHeight="1" x14ac:dyDescent="0.3">
      <c r="A126" s="13"/>
      <c r="B126" s="14" t="s">
        <v>17</v>
      </c>
      <c r="C126" s="14" t="s">
        <v>2</v>
      </c>
      <c r="D126" s="14"/>
      <c r="E126" s="23" t="s">
        <v>79</v>
      </c>
      <c r="F126" s="23" t="s">
        <v>3</v>
      </c>
      <c r="G126" s="23" t="s">
        <v>88</v>
      </c>
      <c r="H126" s="14" t="str">
        <f>G125</f>
        <v>G7</v>
      </c>
      <c r="I126" s="14" t="str">
        <f>G126</f>
        <v>G10</v>
      </c>
    </row>
    <row r="127" spans="1:9" ht="15" customHeight="1" x14ac:dyDescent="0.3">
      <c r="A127" s="17"/>
      <c r="B127" s="18"/>
      <c r="C127" s="18"/>
      <c r="D127" s="18"/>
      <c r="E127" s="18"/>
      <c r="F127" s="18"/>
      <c r="G127" s="18"/>
      <c r="H127" s="18"/>
      <c r="I127" s="18"/>
    </row>
    <row r="128" spans="1:9" ht="15" customHeight="1" x14ac:dyDescent="0.3">
      <c r="A128" s="17"/>
      <c r="B128" s="18"/>
      <c r="C128" s="18"/>
      <c r="D128" s="18"/>
      <c r="E128" s="18"/>
      <c r="F128" s="18"/>
      <c r="G128" s="18"/>
      <c r="H128" s="18"/>
      <c r="I128" s="18"/>
    </row>
    <row r="129" spans="1:9" ht="15" customHeight="1" x14ac:dyDescent="0.3">
      <c r="A129" s="9" t="s">
        <v>6</v>
      </c>
      <c r="B129" s="9" t="s">
        <v>7</v>
      </c>
      <c r="C129" s="9" t="s">
        <v>8</v>
      </c>
      <c r="D129" s="9" t="s">
        <v>9</v>
      </c>
      <c r="E129" s="9" t="s">
        <v>10</v>
      </c>
      <c r="F129" s="9"/>
      <c r="G129" s="9" t="s">
        <v>11</v>
      </c>
      <c r="H129" s="9" t="s">
        <v>12</v>
      </c>
      <c r="I129" s="9" t="s">
        <v>13</v>
      </c>
    </row>
    <row r="130" spans="1:9" ht="15" customHeight="1" x14ac:dyDescent="0.3">
      <c r="A130" s="13" t="s">
        <v>30</v>
      </c>
      <c r="B130" s="14" t="s">
        <v>15</v>
      </c>
      <c r="C130" s="14" t="s">
        <v>0</v>
      </c>
      <c r="D130" s="14" t="str">
        <f>G136</f>
        <v>G2</v>
      </c>
      <c r="E130" s="15" t="s">
        <v>49</v>
      </c>
      <c r="F130" s="15" t="s">
        <v>3</v>
      </c>
      <c r="G130" s="15" t="s">
        <v>67</v>
      </c>
      <c r="H130" s="14" t="str">
        <f>E131</f>
        <v>T2</v>
      </c>
      <c r="I130" s="14"/>
    </row>
    <row r="131" spans="1:9" ht="15" customHeight="1" x14ac:dyDescent="0.3">
      <c r="A131" s="16">
        <f>A119+7</f>
        <v>45224</v>
      </c>
      <c r="B131" s="14" t="s">
        <v>16</v>
      </c>
      <c r="C131" s="14" t="s">
        <v>0</v>
      </c>
      <c r="D131" s="14"/>
      <c r="E131" s="15" t="s">
        <v>50</v>
      </c>
      <c r="F131" s="15" t="s">
        <v>3</v>
      </c>
      <c r="G131" s="15" t="s">
        <v>68</v>
      </c>
      <c r="H131" s="14" t="str">
        <f>G130</f>
        <v>T8</v>
      </c>
      <c r="I131" s="14"/>
    </row>
    <row r="132" spans="1:9" ht="15" customHeight="1" x14ac:dyDescent="0.3">
      <c r="A132" s="13"/>
      <c r="B132" s="14" t="s">
        <v>17</v>
      </c>
      <c r="C132" s="14" t="s">
        <v>0</v>
      </c>
      <c r="D132" s="14"/>
      <c r="E132" s="15" t="s">
        <v>51</v>
      </c>
      <c r="F132" s="15" t="s">
        <v>3</v>
      </c>
      <c r="G132" s="15" t="s">
        <v>52</v>
      </c>
      <c r="H132" s="14" t="str">
        <f>G131</f>
        <v>T7</v>
      </c>
      <c r="I132" s="14" t="str">
        <f>G132</f>
        <v>T4</v>
      </c>
    </row>
    <row r="133" spans="1:9" ht="15" customHeight="1" x14ac:dyDescent="0.3">
      <c r="A133" s="13"/>
      <c r="B133" s="14" t="s">
        <v>15</v>
      </c>
      <c r="C133" s="14" t="s">
        <v>1</v>
      </c>
      <c r="D133" s="14" t="str">
        <f>E133</f>
        <v>G6</v>
      </c>
      <c r="E133" s="23" t="s">
        <v>84</v>
      </c>
      <c r="F133" s="23" t="s">
        <v>3</v>
      </c>
      <c r="G133" s="23" t="s">
        <v>87</v>
      </c>
      <c r="H133" s="14" t="str">
        <f>E134</f>
        <v>T6</v>
      </c>
      <c r="I133" s="14"/>
    </row>
    <row r="134" spans="1:9" ht="15" customHeight="1" x14ac:dyDescent="0.3">
      <c r="A134" s="16"/>
      <c r="B134" s="14" t="s">
        <v>16</v>
      </c>
      <c r="C134" s="14" t="s">
        <v>1</v>
      </c>
      <c r="D134" s="14"/>
      <c r="E134" s="15" t="s">
        <v>57</v>
      </c>
      <c r="F134" s="15" t="s">
        <v>3</v>
      </c>
      <c r="G134" s="15" t="s">
        <v>56</v>
      </c>
      <c r="H134" s="14" t="str">
        <f>E132</f>
        <v>T3</v>
      </c>
      <c r="I134" s="14"/>
    </row>
    <row r="135" spans="1:9" ht="15" customHeight="1" x14ac:dyDescent="0.3">
      <c r="A135" s="16"/>
      <c r="B135" s="14" t="s">
        <v>17</v>
      </c>
      <c r="C135" s="14" t="s">
        <v>1</v>
      </c>
      <c r="D135" s="14"/>
      <c r="E135" s="23" t="s">
        <v>82</v>
      </c>
      <c r="F135" s="23" t="s">
        <v>3</v>
      </c>
      <c r="G135" s="23" t="s">
        <v>81</v>
      </c>
      <c r="H135" s="14" t="str">
        <f>G134</f>
        <v>T5</v>
      </c>
      <c r="I135" s="14" t="str">
        <f>G135</f>
        <v>G3</v>
      </c>
    </row>
    <row r="136" spans="1:9" ht="15" customHeight="1" x14ac:dyDescent="0.3">
      <c r="A136" s="13"/>
      <c r="B136" s="14" t="s">
        <v>15</v>
      </c>
      <c r="C136" s="14" t="s">
        <v>2</v>
      </c>
      <c r="D136" s="14" t="str">
        <f>E136</f>
        <v>G5</v>
      </c>
      <c r="E136" s="23" t="s">
        <v>83</v>
      </c>
      <c r="F136" s="23" t="s">
        <v>3</v>
      </c>
      <c r="G136" s="23" t="s">
        <v>80</v>
      </c>
      <c r="H136" s="14" t="str">
        <f>G133</f>
        <v>G9</v>
      </c>
      <c r="I136" s="14"/>
    </row>
    <row r="137" spans="1:9" ht="15" customHeight="1" x14ac:dyDescent="0.3">
      <c r="A137" s="13"/>
      <c r="B137" s="14" t="s">
        <v>16</v>
      </c>
      <c r="C137" s="14" t="s">
        <v>2</v>
      </c>
      <c r="D137" s="14"/>
      <c r="E137" s="23" t="s">
        <v>79</v>
      </c>
      <c r="F137" s="23" t="s">
        <v>3</v>
      </c>
      <c r="G137" s="23" t="s">
        <v>86</v>
      </c>
      <c r="H137" s="14" t="str">
        <f>E138</f>
        <v>G10</v>
      </c>
      <c r="I137" s="14"/>
    </row>
    <row r="138" spans="1:9" ht="15" customHeight="1" x14ac:dyDescent="0.3">
      <c r="A138" s="13"/>
      <c r="B138" s="14" t="s">
        <v>17</v>
      </c>
      <c r="C138" s="14" t="s">
        <v>2</v>
      </c>
      <c r="D138" s="14"/>
      <c r="E138" s="23" t="s">
        <v>88</v>
      </c>
      <c r="F138" s="23" t="s">
        <v>3</v>
      </c>
      <c r="G138" s="23" t="s">
        <v>85</v>
      </c>
      <c r="H138" s="14" t="str">
        <f>G137</f>
        <v>G8</v>
      </c>
      <c r="I138" s="14" t="str">
        <f>G138</f>
        <v>G7</v>
      </c>
    </row>
    <row r="139" spans="1:9" ht="15" customHeight="1" x14ac:dyDescent="0.3">
      <c r="A139" s="17"/>
      <c r="B139" s="18"/>
      <c r="C139" s="18"/>
      <c r="D139" s="18"/>
      <c r="E139" s="18"/>
      <c r="F139" s="18"/>
      <c r="G139" s="18"/>
      <c r="H139" s="18"/>
      <c r="I139" s="18"/>
    </row>
    <row r="140" spans="1:9" ht="15" customHeight="1" x14ac:dyDescent="0.3">
      <c r="A140" s="13" t="s">
        <v>31</v>
      </c>
      <c r="B140" s="14" t="s">
        <v>15</v>
      </c>
      <c r="C140" s="14" t="s">
        <v>0</v>
      </c>
      <c r="D140" s="14" t="str">
        <f>G146</f>
        <v>G3</v>
      </c>
      <c r="E140" s="15" t="s">
        <v>51</v>
      </c>
      <c r="F140" s="15" t="s">
        <v>69</v>
      </c>
      <c r="G140" s="15" t="s">
        <v>56</v>
      </c>
      <c r="H140" s="14" t="str">
        <f>E141</f>
        <v>T4</v>
      </c>
      <c r="I140" s="14"/>
    </row>
    <row r="141" spans="1:9" ht="15" customHeight="1" x14ac:dyDescent="0.3">
      <c r="A141" s="16">
        <f>A131+7</f>
        <v>45231</v>
      </c>
      <c r="B141" s="14" t="s">
        <v>16</v>
      </c>
      <c r="C141" s="14" t="s">
        <v>0</v>
      </c>
      <c r="D141" s="14"/>
      <c r="E141" s="15" t="s">
        <v>52</v>
      </c>
      <c r="F141" s="15" t="s">
        <v>3</v>
      </c>
      <c r="G141" s="15" t="s">
        <v>49</v>
      </c>
      <c r="H141" s="14" t="str">
        <f>G140</f>
        <v>T5</v>
      </c>
      <c r="I141" s="14"/>
    </row>
    <row r="142" spans="1:9" ht="15" customHeight="1" x14ac:dyDescent="0.3">
      <c r="A142" s="13"/>
      <c r="B142" s="14" t="s">
        <v>17</v>
      </c>
      <c r="C142" s="14" t="s">
        <v>0</v>
      </c>
      <c r="D142" s="14"/>
      <c r="E142" s="15" t="s">
        <v>67</v>
      </c>
      <c r="F142" s="15" t="s">
        <v>3</v>
      </c>
      <c r="G142" s="15" t="s">
        <v>50</v>
      </c>
      <c r="H142" s="14" t="str">
        <f>G141</f>
        <v>T1</v>
      </c>
      <c r="I142" s="14" t="str">
        <f>G142</f>
        <v>T2</v>
      </c>
    </row>
    <row r="143" spans="1:9" ht="15" customHeight="1" x14ac:dyDescent="0.3">
      <c r="A143" s="13"/>
      <c r="B143" s="14" t="s">
        <v>15</v>
      </c>
      <c r="C143" s="14" t="s">
        <v>1</v>
      </c>
      <c r="D143" s="14" t="str">
        <f>E143</f>
        <v>G4</v>
      </c>
      <c r="E143" s="23" t="s">
        <v>82</v>
      </c>
      <c r="F143" s="23" t="s">
        <v>3</v>
      </c>
      <c r="G143" s="23" t="s">
        <v>87</v>
      </c>
      <c r="H143" s="14" t="str">
        <f>E144</f>
        <v>T7</v>
      </c>
      <c r="I143" s="14"/>
    </row>
    <row r="144" spans="1:9" ht="15" customHeight="1" x14ac:dyDescent="0.3">
      <c r="A144" s="16"/>
      <c r="B144" s="14" t="s">
        <v>16</v>
      </c>
      <c r="C144" s="14" t="s">
        <v>1</v>
      </c>
      <c r="D144" s="14"/>
      <c r="E144" s="15" t="s">
        <v>68</v>
      </c>
      <c r="F144" s="15" t="s">
        <v>3</v>
      </c>
      <c r="G144" s="15" t="s">
        <v>57</v>
      </c>
      <c r="H144" s="14" t="str">
        <f>E142</f>
        <v>T8</v>
      </c>
      <c r="I144" s="14"/>
    </row>
    <row r="145" spans="1:9" ht="15" customHeight="1" x14ac:dyDescent="0.3">
      <c r="A145" s="16"/>
      <c r="B145" s="14" t="s">
        <v>17</v>
      </c>
      <c r="C145" s="14" t="s">
        <v>1</v>
      </c>
      <c r="D145" s="14"/>
      <c r="E145" s="23" t="s">
        <v>83</v>
      </c>
      <c r="F145" s="23" t="s">
        <v>3</v>
      </c>
      <c r="G145" s="23" t="s">
        <v>84</v>
      </c>
      <c r="H145" s="14" t="str">
        <f>G144</f>
        <v>T6</v>
      </c>
      <c r="I145" s="14" t="str">
        <f>G145</f>
        <v>G6</v>
      </c>
    </row>
    <row r="146" spans="1:9" ht="15" customHeight="1" x14ac:dyDescent="0.3">
      <c r="A146" s="13"/>
      <c r="B146" s="14" t="s">
        <v>15</v>
      </c>
      <c r="C146" s="14" t="s">
        <v>2</v>
      </c>
      <c r="D146" s="14" t="str">
        <f>E146</f>
        <v>G1</v>
      </c>
      <c r="E146" s="23" t="s">
        <v>79</v>
      </c>
      <c r="F146" s="23" t="s">
        <v>3</v>
      </c>
      <c r="G146" s="23" t="s">
        <v>81</v>
      </c>
      <c r="H146" s="14" t="str">
        <f>G143</f>
        <v>G9</v>
      </c>
      <c r="I146" s="14"/>
    </row>
    <row r="147" spans="1:9" ht="15" customHeight="1" x14ac:dyDescent="0.3">
      <c r="A147" s="13"/>
      <c r="B147" s="14" t="s">
        <v>16</v>
      </c>
      <c r="C147" s="14" t="s">
        <v>2</v>
      </c>
      <c r="D147" s="14"/>
      <c r="E147" s="23" t="s">
        <v>88</v>
      </c>
      <c r="F147" s="23" t="s">
        <v>3</v>
      </c>
      <c r="G147" s="23" t="s">
        <v>80</v>
      </c>
      <c r="H147" s="14" t="str">
        <f>E148</f>
        <v>G7</v>
      </c>
      <c r="I147" s="14"/>
    </row>
    <row r="148" spans="1:9" ht="15" customHeight="1" x14ac:dyDescent="0.3">
      <c r="A148" s="13"/>
      <c r="B148" s="14" t="s">
        <v>17</v>
      </c>
      <c r="C148" s="14" t="s">
        <v>2</v>
      </c>
      <c r="D148" s="14"/>
      <c r="E148" s="23" t="s">
        <v>85</v>
      </c>
      <c r="F148" s="23" t="s">
        <v>3</v>
      </c>
      <c r="G148" s="23" t="s">
        <v>86</v>
      </c>
      <c r="H148" s="14" t="str">
        <f>G147</f>
        <v>G2</v>
      </c>
      <c r="I148" s="14" t="str">
        <f>G148</f>
        <v>G8</v>
      </c>
    </row>
    <row r="149" spans="1:9" ht="15" customHeight="1" x14ac:dyDescent="0.3">
      <c r="A149" s="17"/>
      <c r="B149" s="18"/>
      <c r="C149" s="18"/>
      <c r="D149" s="18"/>
      <c r="E149" s="18"/>
      <c r="F149" s="18"/>
      <c r="G149" s="18"/>
      <c r="H149" s="18"/>
      <c r="I149" s="18"/>
    </row>
    <row r="150" spans="1:9" ht="15" customHeight="1" x14ac:dyDescent="0.3">
      <c r="A150" s="13" t="s">
        <v>32</v>
      </c>
      <c r="B150" s="14" t="s">
        <v>15</v>
      </c>
      <c r="C150" s="14" t="s">
        <v>0</v>
      </c>
      <c r="D150" s="14" t="str">
        <f>G156</f>
        <v>G4</v>
      </c>
      <c r="E150" s="15" t="s">
        <v>68</v>
      </c>
      <c r="F150" s="15" t="s">
        <v>3</v>
      </c>
      <c r="G150" s="15" t="s">
        <v>51</v>
      </c>
      <c r="H150" s="14" t="str">
        <f>E151</f>
        <v>T1</v>
      </c>
      <c r="I150" s="14"/>
    </row>
    <row r="151" spans="1:9" ht="15" customHeight="1" x14ac:dyDescent="0.3">
      <c r="A151" s="16">
        <f>A141+7</f>
        <v>45238</v>
      </c>
      <c r="B151" s="14" t="s">
        <v>16</v>
      </c>
      <c r="C151" s="14" t="s">
        <v>0</v>
      </c>
      <c r="D151" s="14"/>
      <c r="E151" s="15" t="s">
        <v>49</v>
      </c>
      <c r="F151" s="15" t="s">
        <v>3</v>
      </c>
      <c r="G151" s="15" t="s">
        <v>56</v>
      </c>
      <c r="H151" s="14" t="str">
        <f>G150</f>
        <v>T3</v>
      </c>
      <c r="I151" s="14"/>
    </row>
    <row r="152" spans="1:9" ht="15" customHeight="1" x14ac:dyDescent="0.3">
      <c r="A152" s="13"/>
      <c r="B152" s="14" t="s">
        <v>17</v>
      </c>
      <c r="C152" s="14" t="s">
        <v>0</v>
      </c>
      <c r="D152" s="14"/>
      <c r="E152" s="15" t="s">
        <v>50</v>
      </c>
      <c r="F152" s="15" t="s">
        <v>3</v>
      </c>
      <c r="G152" s="15" t="s">
        <v>57</v>
      </c>
      <c r="H152" s="14" t="str">
        <f>G151</f>
        <v>T5</v>
      </c>
      <c r="I152" s="14" t="str">
        <f>G152</f>
        <v>T6</v>
      </c>
    </row>
    <row r="153" spans="1:9" ht="15" customHeight="1" x14ac:dyDescent="0.3">
      <c r="A153" s="13"/>
      <c r="B153" s="14" t="s">
        <v>15</v>
      </c>
      <c r="C153" s="14" t="s">
        <v>1</v>
      </c>
      <c r="D153" s="14" t="str">
        <f>E153</f>
        <v>G2</v>
      </c>
      <c r="E153" s="23" t="s">
        <v>80</v>
      </c>
      <c r="F153" s="23" t="s">
        <v>3</v>
      </c>
      <c r="G153" s="23" t="s">
        <v>81</v>
      </c>
      <c r="H153" s="14" t="str">
        <f>E154</f>
        <v>T8</v>
      </c>
      <c r="I153" s="14"/>
    </row>
    <row r="154" spans="1:9" ht="15" customHeight="1" x14ac:dyDescent="0.3">
      <c r="A154" s="16"/>
      <c r="B154" s="14" t="s">
        <v>16</v>
      </c>
      <c r="C154" s="14" t="s">
        <v>1</v>
      </c>
      <c r="D154" s="14"/>
      <c r="E154" s="15" t="s">
        <v>67</v>
      </c>
      <c r="F154" s="15" t="s">
        <v>3</v>
      </c>
      <c r="G154" s="15" t="s">
        <v>52</v>
      </c>
      <c r="H154" s="14" t="str">
        <f>E152</f>
        <v>T2</v>
      </c>
      <c r="I154" s="14"/>
    </row>
    <row r="155" spans="1:9" ht="15" customHeight="1" x14ac:dyDescent="0.3">
      <c r="A155" s="16"/>
      <c r="B155" s="14" t="s">
        <v>17</v>
      </c>
      <c r="C155" s="14" t="s">
        <v>1</v>
      </c>
      <c r="D155" s="14"/>
      <c r="E155" s="23" t="s">
        <v>86</v>
      </c>
      <c r="F155" s="23" t="s">
        <v>3</v>
      </c>
      <c r="G155" s="23" t="s">
        <v>84</v>
      </c>
      <c r="H155" s="14" t="str">
        <f>G154</f>
        <v>T4</v>
      </c>
      <c r="I155" s="14" t="str">
        <f>G155</f>
        <v>G6</v>
      </c>
    </row>
    <row r="156" spans="1:9" ht="15" customHeight="1" x14ac:dyDescent="0.3">
      <c r="A156" s="13"/>
      <c r="B156" s="14" t="s">
        <v>15</v>
      </c>
      <c r="C156" s="14" t="s">
        <v>2</v>
      </c>
      <c r="D156" s="14" t="str">
        <f>E156</f>
        <v>G7</v>
      </c>
      <c r="E156" s="23" t="s">
        <v>85</v>
      </c>
      <c r="F156" s="23" t="s">
        <v>3</v>
      </c>
      <c r="G156" s="23" t="s">
        <v>82</v>
      </c>
      <c r="H156" s="14" t="str">
        <f>E157</f>
        <v>G10</v>
      </c>
      <c r="I156" s="14"/>
    </row>
    <row r="157" spans="1:9" ht="15" customHeight="1" x14ac:dyDescent="0.3">
      <c r="A157" s="13"/>
      <c r="B157" s="14" t="s">
        <v>16</v>
      </c>
      <c r="C157" s="14" t="s">
        <v>2</v>
      </c>
      <c r="D157" s="14"/>
      <c r="E157" s="23" t="s">
        <v>88</v>
      </c>
      <c r="F157" s="23" t="s">
        <v>3</v>
      </c>
      <c r="G157" s="23" t="s">
        <v>83</v>
      </c>
      <c r="H157" s="14" t="str">
        <f>E158</f>
        <v>G1</v>
      </c>
      <c r="I157" s="14"/>
    </row>
    <row r="158" spans="1:9" ht="15" customHeight="1" x14ac:dyDescent="0.3">
      <c r="A158" s="13"/>
      <c r="B158" s="14" t="s">
        <v>17</v>
      </c>
      <c r="C158" s="14" t="s">
        <v>2</v>
      </c>
      <c r="D158" s="14"/>
      <c r="E158" s="23" t="s">
        <v>79</v>
      </c>
      <c r="F158" s="23" t="s">
        <v>3</v>
      </c>
      <c r="G158" s="23" t="s">
        <v>87</v>
      </c>
      <c r="H158" s="14" t="str">
        <f>G157</f>
        <v>G5</v>
      </c>
      <c r="I158" s="14" t="str">
        <f>G158</f>
        <v>G9</v>
      </c>
    </row>
    <row r="159" spans="1:9" ht="15" customHeight="1" x14ac:dyDescent="0.3">
      <c r="A159" s="17"/>
      <c r="B159" s="18"/>
      <c r="C159" s="18"/>
      <c r="D159" s="18"/>
      <c r="E159" s="18"/>
      <c r="F159" s="18"/>
      <c r="G159" s="18"/>
      <c r="H159" s="18"/>
      <c r="I159" s="18"/>
    </row>
    <row r="160" spans="1:9" ht="15" customHeight="1" x14ac:dyDescent="0.3">
      <c r="A160" s="17"/>
      <c r="B160" s="18"/>
      <c r="C160" s="18"/>
      <c r="D160" s="18"/>
      <c r="E160" s="18"/>
      <c r="F160" s="18"/>
      <c r="G160" s="18"/>
      <c r="H160" s="18"/>
      <c r="I160" s="18"/>
    </row>
    <row r="161" spans="1:9" ht="15" customHeight="1" x14ac:dyDescent="0.3">
      <c r="A161" s="9" t="s">
        <v>6</v>
      </c>
      <c r="B161" s="9" t="s">
        <v>7</v>
      </c>
      <c r="C161" s="9" t="s">
        <v>8</v>
      </c>
      <c r="D161" s="9" t="s">
        <v>9</v>
      </c>
      <c r="E161" s="9" t="s">
        <v>10</v>
      </c>
      <c r="F161" s="9"/>
      <c r="G161" s="9" t="s">
        <v>11</v>
      </c>
      <c r="H161" s="9" t="s">
        <v>12</v>
      </c>
      <c r="I161" s="9" t="s">
        <v>13</v>
      </c>
    </row>
    <row r="162" spans="1:9" ht="15" customHeight="1" x14ac:dyDescent="0.3">
      <c r="A162" s="20">
        <f>A151+7</f>
        <v>45245</v>
      </c>
      <c r="B162" s="20"/>
      <c r="C162" s="20"/>
      <c r="D162" s="150" t="s">
        <v>70</v>
      </c>
      <c r="E162" s="151"/>
      <c r="F162" s="151"/>
      <c r="G162" s="151"/>
      <c r="H162" s="151"/>
      <c r="I162" s="152"/>
    </row>
    <row r="163" spans="1:9" ht="15" customHeight="1" x14ac:dyDescent="0.3">
      <c r="A163" s="21"/>
      <c r="B163" s="14" t="s">
        <v>15</v>
      </c>
      <c r="C163" s="14" t="s">
        <v>0</v>
      </c>
      <c r="D163" s="14" t="str">
        <f>E163</f>
        <v>Rank 1</v>
      </c>
      <c r="E163" s="15" t="s">
        <v>72</v>
      </c>
      <c r="F163" s="15" t="s">
        <v>3</v>
      </c>
      <c r="G163" s="15" t="s">
        <v>73</v>
      </c>
      <c r="H163" s="14" t="str">
        <f>E164</f>
        <v>Rank 3</v>
      </c>
      <c r="I163" s="14"/>
    </row>
    <row r="164" spans="1:9" ht="15" customHeight="1" x14ac:dyDescent="0.3">
      <c r="A164" s="21"/>
      <c r="B164" s="14" t="s">
        <v>16</v>
      </c>
      <c r="C164" s="14" t="s">
        <v>0</v>
      </c>
      <c r="D164" s="14"/>
      <c r="E164" s="15" t="s">
        <v>74</v>
      </c>
      <c r="F164" s="15" t="s">
        <v>3</v>
      </c>
      <c r="G164" s="15" t="s">
        <v>75</v>
      </c>
      <c r="H164" s="14" t="str">
        <f>G163</f>
        <v>Rank 2</v>
      </c>
      <c r="I164" s="14" t="str">
        <f>G164</f>
        <v>Rank 4</v>
      </c>
    </row>
    <row r="165" spans="1:9" ht="15" customHeight="1" x14ac:dyDescent="0.3">
      <c r="A165" s="21"/>
      <c r="B165" s="14" t="s">
        <v>15</v>
      </c>
      <c r="C165" s="14" t="s">
        <v>1</v>
      </c>
      <c r="D165" s="14" t="str">
        <f>E165</f>
        <v>Rank 1</v>
      </c>
      <c r="E165" s="23" t="s">
        <v>72</v>
      </c>
      <c r="F165" s="23" t="s">
        <v>3</v>
      </c>
      <c r="G165" s="23" t="s">
        <v>73</v>
      </c>
      <c r="H165" s="14" t="str">
        <f>E166</f>
        <v>Rank 3</v>
      </c>
      <c r="I165" s="14"/>
    </row>
    <row r="166" spans="1:9" ht="15" customHeight="1" x14ac:dyDescent="0.3">
      <c r="A166" s="21"/>
      <c r="B166" s="14" t="s">
        <v>16</v>
      </c>
      <c r="C166" s="14" t="s">
        <v>1</v>
      </c>
      <c r="D166" s="14"/>
      <c r="E166" s="23" t="s">
        <v>74</v>
      </c>
      <c r="F166" s="23" t="s">
        <v>3</v>
      </c>
      <c r="G166" s="23" t="s">
        <v>75</v>
      </c>
      <c r="H166" s="14" t="str">
        <f>G165</f>
        <v>Rank 2</v>
      </c>
      <c r="I166" s="14" t="str">
        <f>G166</f>
        <v>Rank 4</v>
      </c>
    </row>
    <row r="167" spans="1:9" ht="15" customHeight="1" x14ac:dyDescent="0.3">
      <c r="A167" s="17"/>
      <c r="B167" s="18"/>
      <c r="C167" s="18"/>
      <c r="D167" s="18"/>
      <c r="E167" s="18"/>
      <c r="F167" s="18"/>
      <c r="G167" s="18"/>
      <c r="H167" s="18"/>
      <c r="I167" s="18"/>
    </row>
    <row r="168" spans="1:9" ht="15" customHeight="1" x14ac:dyDescent="0.3">
      <c r="A168" s="20">
        <f>A162+7</f>
        <v>45252</v>
      </c>
      <c r="B168" s="20"/>
      <c r="C168" s="20"/>
      <c r="D168" s="150" t="s">
        <v>61</v>
      </c>
      <c r="E168" s="151"/>
      <c r="F168" s="151"/>
      <c r="G168" s="151"/>
      <c r="H168" s="151"/>
      <c r="I168" s="152"/>
    </row>
    <row r="169" spans="1:9" ht="15" customHeight="1" x14ac:dyDescent="0.3">
      <c r="A169" s="21"/>
      <c r="B169" s="14" t="s">
        <v>16</v>
      </c>
      <c r="C169" s="14" t="s">
        <v>1</v>
      </c>
      <c r="D169" s="14" t="str">
        <f>E169</f>
        <v>Loser Rank 1/2</v>
      </c>
      <c r="E169" s="15" t="s">
        <v>76</v>
      </c>
      <c r="F169" s="15" t="s">
        <v>3</v>
      </c>
      <c r="G169" s="15" t="s">
        <v>77</v>
      </c>
      <c r="H169" s="14" t="s">
        <v>59</v>
      </c>
      <c r="I169" s="14" t="str">
        <f>G169</f>
        <v>Winner Rank 3/4</v>
      </c>
    </row>
    <row r="170" spans="1:9" ht="15" customHeight="1" x14ac:dyDescent="0.3">
      <c r="A170" s="21"/>
      <c r="B170" s="14" t="s">
        <v>16</v>
      </c>
      <c r="C170" s="14" t="s">
        <v>1</v>
      </c>
      <c r="D170" s="14" t="str">
        <f>E170</f>
        <v>Loser Rank 1/2</v>
      </c>
      <c r="E170" s="23" t="s">
        <v>76</v>
      </c>
      <c r="F170" s="23" t="s">
        <v>3</v>
      </c>
      <c r="G170" s="23" t="s">
        <v>77</v>
      </c>
      <c r="H170" s="14" t="s">
        <v>59</v>
      </c>
      <c r="I170" s="14" t="str">
        <f>G170</f>
        <v>Winner Rank 3/4</v>
      </c>
    </row>
    <row r="171" spans="1:9" ht="15" customHeight="1" x14ac:dyDescent="0.3">
      <c r="A171" s="17"/>
      <c r="B171" s="18"/>
      <c r="C171" s="18"/>
      <c r="D171" s="18"/>
      <c r="E171" s="18"/>
      <c r="F171" s="18"/>
      <c r="G171" s="18"/>
      <c r="H171" s="18"/>
      <c r="I171" s="18"/>
    </row>
    <row r="172" spans="1:9" ht="15" customHeight="1" x14ac:dyDescent="0.3">
      <c r="A172" s="20">
        <f>A168+7</f>
        <v>45259</v>
      </c>
      <c r="B172" s="20"/>
      <c r="C172" s="20"/>
      <c r="D172" s="150" t="s">
        <v>58</v>
      </c>
      <c r="E172" s="151"/>
      <c r="F172" s="151"/>
      <c r="G172" s="151"/>
      <c r="H172" s="151"/>
      <c r="I172" s="152"/>
    </row>
    <row r="173" spans="1:9" ht="15" customHeight="1" x14ac:dyDescent="0.3">
      <c r="A173" s="21"/>
      <c r="B173" s="14" t="s">
        <v>16</v>
      </c>
      <c r="C173" s="14" t="s">
        <v>0</v>
      </c>
      <c r="D173" s="14" t="str">
        <f>E173</f>
        <v>Winner Rank 1/2</v>
      </c>
      <c r="E173" s="15" t="s">
        <v>78</v>
      </c>
      <c r="F173" s="15" t="s">
        <v>3</v>
      </c>
      <c r="G173" s="15" t="s">
        <v>60</v>
      </c>
      <c r="H173" s="14" t="s">
        <v>62</v>
      </c>
      <c r="I173" s="14" t="str">
        <f>G173</f>
        <v>Winner Major Semi</v>
      </c>
    </row>
    <row r="174" spans="1:9" ht="15" customHeight="1" x14ac:dyDescent="0.3">
      <c r="A174" s="21"/>
      <c r="B174" s="14" t="s">
        <v>16</v>
      </c>
      <c r="C174" s="14" t="s">
        <v>1</v>
      </c>
      <c r="D174" s="14" t="str">
        <f>E174</f>
        <v>Winner Rank 1/2</v>
      </c>
      <c r="E174" s="23" t="s">
        <v>78</v>
      </c>
      <c r="F174" s="23" t="s">
        <v>3</v>
      </c>
      <c r="G174" s="23" t="s">
        <v>60</v>
      </c>
      <c r="H174" s="14" t="s">
        <v>62</v>
      </c>
      <c r="I174" s="14" t="str">
        <f>G174</f>
        <v>Winner Major Semi</v>
      </c>
    </row>
    <row r="175" spans="1:9" ht="15" customHeight="1" x14ac:dyDescent="0.3">
      <c r="B175" s="18"/>
      <c r="C175" s="18"/>
    </row>
    <row r="177" spans="1:9" ht="15" customHeight="1" x14ac:dyDescent="0.3">
      <c r="A177" s="11" t="s">
        <v>89</v>
      </c>
      <c r="B177" s="11" t="s">
        <v>66</v>
      </c>
      <c r="C177" s="19" t="s">
        <v>134</v>
      </c>
      <c r="D177" s="19" t="s">
        <v>63</v>
      </c>
      <c r="E177" s="11" t="s">
        <v>10</v>
      </c>
      <c r="G177" s="11" t="s">
        <v>11</v>
      </c>
      <c r="H177" s="19" t="s">
        <v>64</v>
      </c>
      <c r="I177" s="19" t="s">
        <v>65</v>
      </c>
    </row>
    <row r="178" spans="1:9" ht="15" customHeight="1" x14ac:dyDescent="0.3">
      <c r="A178" s="11">
        <f t="shared" ref="A178:A185" si="0">E178+G178</f>
        <v>15</v>
      </c>
      <c r="B178" s="11">
        <f>D178+H178+I178</f>
        <v>13</v>
      </c>
      <c r="C178" s="19" t="s">
        <v>49</v>
      </c>
      <c r="D178" s="19">
        <f>COUNTIF(D$2:D$158,$C178)</f>
        <v>0</v>
      </c>
      <c r="E178" s="19">
        <f t="shared" ref="E178:I178" si="1">COUNTIF(E$2:E$158,$C178)</f>
        <v>7</v>
      </c>
      <c r="F178" s="19">
        <f t="shared" si="1"/>
        <v>0</v>
      </c>
      <c r="G178" s="19">
        <f t="shared" si="1"/>
        <v>8</v>
      </c>
      <c r="H178" s="19">
        <f t="shared" si="1"/>
        <v>12</v>
      </c>
      <c r="I178" s="19">
        <f t="shared" si="1"/>
        <v>1</v>
      </c>
    </row>
    <row r="179" spans="1:9" ht="15" customHeight="1" x14ac:dyDescent="0.3">
      <c r="A179" s="11">
        <f t="shared" si="0"/>
        <v>15</v>
      </c>
      <c r="B179" s="11">
        <f t="shared" ref="B179:B185" si="2">D179+H179+I179</f>
        <v>13</v>
      </c>
      <c r="C179" s="19" t="s">
        <v>50</v>
      </c>
      <c r="D179" s="19">
        <f t="shared" ref="D179:I185" si="3">COUNTIF(D$2:D$158,$C179)</f>
        <v>0</v>
      </c>
      <c r="E179" s="19">
        <f t="shared" si="3"/>
        <v>9</v>
      </c>
      <c r="F179" s="19">
        <f t="shared" si="3"/>
        <v>0</v>
      </c>
      <c r="G179" s="19">
        <f t="shared" si="3"/>
        <v>6</v>
      </c>
      <c r="H179" s="19">
        <f t="shared" si="3"/>
        <v>11</v>
      </c>
      <c r="I179" s="19">
        <f t="shared" si="3"/>
        <v>2</v>
      </c>
    </row>
    <row r="180" spans="1:9" ht="15" customHeight="1" x14ac:dyDescent="0.3">
      <c r="A180" s="11">
        <f t="shared" si="0"/>
        <v>15</v>
      </c>
      <c r="B180" s="11">
        <f t="shared" si="2"/>
        <v>13</v>
      </c>
      <c r="C180" s="19" t="s">
        <v>51</v>
      </c>
      <c r="D180" s="19">
        <f t="shared" si="3"/>
        <v>0</v>
      </c>
      <c r="E180" s="19">
        <f t="shared" si="3"/>
        <v>7</v>
      </c>
      <c r="F180" s="19">
        <f t="shared" si="3"/>
        <v>0</v>
      </c>
      <c r="G180" s="19">
        <f t="shared" si="3"/>
        <v>8</v>
      </c>
      <c r="H180" s="19">
        <f t="shared" si="3"/>
        <v>12</v>
      </c>
      <c r="I180" s="19">
        <f t="shared" si="3"/>
        <v>1</v>
      </c>
    </row>
    <row r="181" spans="1:9" ht="15" customHeight="1" x14ac:dyDescent="0.3">
      <c r="A181" s="11">
        <f t="shared" si="0"/>
        <v>15</v>
      </c>
      <c r="B181" s="11">
        <f t="shared" si="2"/>
        <v>13</v>
      </c>
      <c r="C181" s="19" t="s">
        <v>52</v>
      </c>
      <c r="D181" s="19">
        <f t="shared" si="3"/>
        <v>0</v>
      </c>
      <c r="E181" s="19">
        <f t="shared" si="3"/>
        <v>8</v>
      </c>
      <c r="F181" s="19">
        <f t="shared" si="3"/>
        <v>0</v>
      </c>
      <c r="G181" s="19">
        <f t="shared" si="3"/>
        <v>7</v>
      </c>
      <c r="H181" s="19">
        <f t="shared" si="3"/>
        <v>10</v>
      </c>
      <c r="I181" s="19">
        <f t="shared" si="3"/>
        <v>3</v>
      </c>
    </row>
    <row r="182" spans="1:9" ht="15" customHeight="1" x14ac:dyDescent="0.3">
      <c r="A182" s="11">
        <f t="shared" si="0"/>
        <v>15</v>
      </c>
      <c r="B182" s="11">
        <f t="shared" si="2"/>
        <v>14</v>
      </c>
      <c r="C182" s="19" t="s">
        <v>56</v>
      </c>
      <c r="D182" s="19">
        <f t="shared" si="3"/>
        <v>0</v>
      </c>
      <c r="E182" s="19">
        <f t="shared" si="3"/>
        <v>6</v>
      </c>
      <c r="F182" s="19">
        <f t="shared" si="3"/>
        <v>0</v>
      </c>
      <c r="G182" s="19">
        <f t="shared" si="3"/>
        <v>9</v>
      </c>
      <c r="H182" s="19">
        <f t="shared" si="3"/>
        <v>11</v>
      </c>
      <c r="I182" s="19">
        <f t="shared" si="3"/>
        <v>3</v>
      </c>
    </row>
    <row r="183" spans="1:9" ht="15" customHeight="1" x14ac:dyDescent="0.3">
      <c r="A183" s="11">
        <f t="shared" si="0"/>
        <v>15</v>
      </c>
      <c r="B183" s="11">
        <f t="shared" si="2"/>
        <v>13</v>
      </c>
      <c r="C183" s="19" t="s">
        <v>57</v>
      </c>
      <c r="D183" s="19">
        <f t="shared" si="3"/>
        <v>0</v>
      </c>
      <c r="E183" s="19">
        <f t="shared" si="3"/>
        <v>7</v>
      </c>
      <c r="F183" s="19">
        <f t="shared" si="3"/>
        <v>0</v>
      </c>
      <c r="G183" s="19">
        <f t="shared" si="3"/>
        <v>8</v>
      </c>
      <c r="H183" s="19">
        <f t="shared" si="3"/>
        <v>10</v>
      </c>
      <c r="I183" s="19">
        <f t="shared" si="3"/>
        <v>3</v>
      </c>
    </row>
    <row r="184" spans="1:9" ht="15" customHeight="1" x14ac:dyDescent="0.3">
      <c r="A184" s="11">
        <f t="shared" si="0"/>
        <v>15</v>
      </c>
      <c r="B184" s="11">
        <f t="shared" si="2"/>
        <v>13</v>
      </c>
      <c r="C184" s="19" t="s">
        <v>68</v>
      </c>
      <c r="D184" s="19">
        <f t="shared" si="3"/>
        <v>0</v>
      </c>
      <c r="E184" s="19">
        <f t="shared" si="3"/>
        <v>9</v>
      </c>
      <c r="F184" s="19">
        <f t="shared" si="3"/>
        <v>0</v>
      </c>
      <c r="G184" s="19">
        <f t="shared" si="3"/>
        <v>6</v>
      </c>
      <c r="H184" s="19">
        <f t="shared" si="3"/>
        <v>12</v>
      </c>
      <c r="I184" s="19">
        <f t="shared" si="3"/>
        <v>1</v>
      </c>
    </row>
    <row r="185" spans="1:9" ht="15" customHeight="1" x14ac:dyDescent="0.3">
      <c r="A185" s="11">
        <f t="shared" si="0"/>
        <v>15</v>
      </c>
      <c r="B185" s="11">
        <f t="shared" si="2"/>
        <v>13</v>
      </c>
      <c r="C185" s="19" t="s">
        <v>67</v>
      </c>
      <c r="D185" s="19">
        <f t="shared" si="3"/>
        <v>0</v>
      </c>
      <c r="E185" s="19">
        <f t="shared" si="3"/>
        <v>7</v>
      </c>
      <c r="F185" s="19">
        <f t="shared" si="3"/>
        <v>0</v>
      </c>
      <c r="G185" s="19">
        <f t="shared" si="3"/>
        <v>8</v>
      </c>
      <c r="H185" s="19">
        <f t="shared" si="3"/>
        <v>12</v>
      </c>
      <c r="I185" s="19">
        <f t="shared" si="3"/>
        <v>1</v>
      </c>
    </row>
    <row r="186" spans="1:9" ht="15" customHeight="1" x14ac:dyDescent="0.3">
      <c r="A186" s="11"/>
      <c r="B186" s="11"/>
      <c r="E186" s="19"/>
      <c r="F186" s="19"/>
      <c r="G186" s="19"/>
    </row>
    <row r="187" spans="1:9" ht="15" customHeight="1" x14ac:dyDescent="0.3">
      <c r="A187" s="11" t="s">
        <v>89</v>
      </c>
      <c r="B187" s="11" t="s">
        <v>66</v>
      </c>
      <c r="C187" s="19" t="s">
        <v>134</v>
      </c>
      <c r="D187" s="19" t="s">
        <v>63</v>
      </c>
      <c r="E187" s="11" t="s">
        <v>10</v>
      </c>
      <c r="G187" s="11" t="s">
        <v>11</v>
      </c>
      <c r="H187" s="19" t="s">
        <v>64</v>
      </c>
      <c r="I187" s="19" t="s">
        <v>65</v>
      </c>
    </row>
    <row r="188" spans="1:9" ht="15" customHeight="1" x14ac:dyDescent="0.3">
      <c r="A188" s="11">
        <f>E188+G188</f>
        <v>15</v>
      </c>
      <c r="B188" s="11">
        <f t="shared" ref="B188" si="4">D188+H188+I188</f>
        <v>12</v>
      </c>
      <c r="C188" s="19" t="s">
        <v>79</v>
      </c>
      <c r="D188" s="19">
        <f t="shared" ref="D188:D197" si="5">COUNTIF(D$2:D$173,C188)</f>
        <v>3</v>
      </c>
      <c r="E188" s="19">
        <f t="shared" ref="E188:E197" si="6">COUNTIF(E$2:E$173,C188)</f>
        <v>9</v>
      </c>
      <c r="F188" s="19"/>
      <c r="G188" s="19">
        <f t="shared" ref="G188:G197" si="7">COUNTIF(G$2:G$173,C188)</f>
        <v>6</v>
      </c>
      <c r="H188" s="19">
        <f t="shared" ref="H188:H197" si="8">COUNTIF(H$2:H$173,C188)</f>
        <v>5</v>
      </c>
      <c r="I188" s="19">
        <f t="shared" ref="I188:I197" si="9">COUNTIF(I$2:I$173,C188)</f>
        <v>4</v>
      </c>
    </row>
    <row r="189" spans="1:9" ht="15" customHeight="1" x14ac:dyDescent="0.3">
      <c r="A189" s="11">
        <f t="shared" ref="A189:A197" si="10">E189+G189</f>
        <v>15</v>
      </c>
      <c r="B189" s="11">
        <f t="shared" ref="B189:B197" si="11">D189+H189+I189</f>
        <v>12</v>
      </c>
      <c r="C189" s="19" t="s">
        <v>80</v>
      </c>
      <c r="D189" s="19">
        <f t="shared" si="5"/>
        <v>6</v>
      </c>
      <c r="E189" s="19">
        <f t="shared" si="6"/>
        <v>6</v>
      </c>
      <c r="F189" s="19"/>
      <c r="G189" s="19">
        <f t="shared" si="7"/>
        <v>9</v>
      </c>
      <c r="H189" s="19">
        <f t="shared" si="8"/>
        <v>3</v>
      </c>
      <c r="I189" s="19">
        <f t="shared" si="9"/>
        <v>3</v>
      </c>
    </row>
    <row r="190" spans="1:9" ht="15" customHeight="1" x14ac:dyDescent="0.3">
      <c r="A190" s="11">
        <f t="shared" si="10"/>
        <v>15</v>
      </c>
      <c r="B190" s="11">
        <f t="shared" si="11"/>
        <v>13</v>
      </c>
      <c r="C190" s="19" t="s">
        <v>81</v>
      </c>
      <c r="D190" s="19">
        <f t="shared" si="5"/>
        <v>6</v>
      </c>
      <c r="E190" s="19">
        <f t="shared" si="6"/>
        <v>5</v>
      </c>
      <c r="F190" s="19"/>
      <c r="G190" s="19">
        <f t="shared" si="7"/>
        <v>10</v>
      </c>
      <c r="H190" s="19">
        <f t="shared" si="8"/>
        <v>4</v>
      </c>
      <c r="I190" s="19">
        <f t="shared" si="9"/>
        <v>3</v>
      </c>
    </row>
    <row r="191" spans="1:9" ht="15" customHeight="1" x14ac:dyDescent="0.3">
      <c r="A191" s="11">
        <f t="shared" si="10"/>
        <v>15</v>
      </c>
      <c r="B191" s="11">
        <f t="shared" si="11"/>
        <v>12</v>
      </c>
      <c r="C191" s="19" t="s">
        <v>82</v>
      </c>
      <c r="D191" s="19">
        <f t="shared" si="5"/>
        <v>5</v>
      </c>
      <c r="E191" s="19">
        <f t="shared" si="6"/>
        <v>8</v>
      </c>
      <c r="F191" s="19"/>
      <c r="G191" s="19">
        <f t="shared" si="7"/>
        <v>7</v>
      </c>
      <c r="H191" s="19">
        <f t="shared" si="8"/>
        <v>5</v>
      </c>
      <c r="I191" s="19">
        <f t="shared" si="9"/>
        <v>2</v>
      </c>
    </row>
    <row r="192" spans="1:9" ht="15" customHeight="1" x14ac:dyDescent="0.3">
      <c r="A192" s="11">
        <f t="shared" si="10"/>
        <v>15</v>
      </c>
      <c r="B192" s="11">
        <f t="shared" si="11"/>
        <v>12</v>
      </c>
      <c r="C192" s="19" t="s">
        <v>83</v>
      </c>
      <c r="D192" s="19">
        <f t="shared" si="5"/>
        <v>5</v>
      </c>
      <c r="E192" s="19">
        <f t="shared" si="6"/>
        <v>9</v>
      </c>
      <c r="F192" s="19"/>
      <c r="G192" s="19">
        <f t="shared" si="7"/>
        <v>6</v>
      </c>
      <c r="H192" s="19">
        <f t="shared" si="8"/>
        <v>4</v>
      </c>
      <c r="I192" s="19">
        <f t="shared" si="9"/>
        <v>3</v>
      </c>
    </row>
    <row r="193" spans="1:9" ht="15" customHeight="1" x14ac:dyDescent="0.3">
      <c r="A193" s="11">
        <f t="shared" si="10"/>
        <v>15</v>
      </c>
      <c r="B193" s="11">
        <f t="shared" si="11"/>
        <v>13</v>
      </c>
      <c r="C193" s="19" t="s">
        <v>84</v>
      </c>
      <c r="D193" s="19">
        <f t="shared" si="5"/>
        <v>4</v>
      </c>
      <c r="E193" s="19">
        <f t="shared" si="6"/>
        <v>7</v>
      </c>
      <c r="F193" s="19"/>
      <c r="G193" s="19">
        <f t="shared" si="7"/>
        <v>8</v>
      </c>
      <c r="H193" s="19">
        <f t="shared" si="8"/>
        <v>5</v>
      </c>
      <c r="I193" s="19">
        <f t="shared" si="9"/>
        <v>4</v>
      </c>
    </row>
    <row r="194" spans="1:9" ht="15" customHeight="1" x14ac:dyDescent="0.3">
      <c r="A194" s="11">
        <f t="shared" si="10"/>
        <v>15</v>
      </c>
      <c r="B194" s="11">
        <f t="shared" si="11"/>
        <v>10</v>
      </c>
      <c r="C194" s="19" t="s">
        <v>85</v>
      </c>
      <c r="D194" s="19">
        <f t="shared" si="5"/>
        <v>3</v>
      </c>
      <c r="E194" s="19">
        <f t="shared" si="6"/>
        <v>7</v>
      </c>
      <c r="F194" s="19"/>
      <c r="G194" s="19">
        <f t="shared" si="7"/>
        <v>8</v>
      </c>
      <c r="H194" s="19">
        <f t="shared" si="8"/>
        <v>5</v>
      </c>
      <c r="I194" s="19">
        <f t="shared" si="9"/>
        <v>2</v>
      </c>
    </row>
    <row r="195" spans="1:9" ht="15" customHeight="1" x14ac:dyDescent="0.3">
      <c r="A195" s="11">
        <f t="shared" si="10"/>
        <v>15</v>
      </c>
      <c r="B195" s="11">
        <f t="shared" si="11"/>
        <v>11</v>
      </c>
      <c r="C195" s="19" t="s">
        <v>86</v>
      </c>
      <c r="D195" s="19">
        <f t="shared" si="5"/>
        <v>4</v>
      </c>
      <c r="E195" s="19">
        <f t="shared" si="6"/>
        <v>7</v>
      </c>
      <c r="F195" s="19"/>
      <c r="G195" s="19">
        <f t="shared" si="7"/>
        <v>8</v>
      </c>
      <c r="H195" s="19">
        <f t="shared" si="8"/>
        <v>3</v>
      </c>
      <c r="I195" s="19">
        <f t="shared" si="9"/>
        <v>4</v>
      </c>
    </row>
    <row r="196" spans="1:9" ht="15" customHeight="1" x14ac:dyDescent="0.3">
      <c r="A196" s="11">
        <f t="shared" si="10"/>
        <v>15</v>
      </c>
      <c r="B196" s="11">
        <f t="shared" si="11"/>
        <v>12</v>
      </c>
      <c r="C196" s="19" t="s">
        <v>87</v>
      </c>
      <c r="D196" s="19">
        <f t="shared" si="5"/>
        <v>3</v>
      </c>
      <c r="E196" s="19">
        <f t="shared" si="6"/>
        <v>6</v>
      </c>
      <c r="F196" s="19"/>
      <c r="G196" s="19">
        <f t="shared" si="7"/>
        <v>9</v>
      </c>
      <c r="H196" s="19">
        <f t="shared" si="8"/>
        <v>6</v>
      </c>
      <c r="I196" s="19">
        <f t="shared" si="9"/>
        <v>3</v>
      </c>
    </row>
    <row r="197" spans="1:9" ht="15" customHeight="1" x14ac:dyDescent="0.3">
      <c r="A197" s="11">
        <f t="shared" si="10"/>
        <v>15</v>
      </c>
      <c r="B197" s="11">
        <f t="shared" si="11"/>
        <v>13</v>
      </c>
      <c r="C197" s="19" t="s">
        <v>88</v>
      </c>
      <c r="D197" s="19">
        <f t="shared" si="5"/>
        <v>6</v>
      </c>
      <c r="E197" s="19">
        <f t="shared" si="6"/>
        <v>11</v>
      </c>
      <c r="F197" s="19"/>
      <c r="G197" s="19">
        <f t="shared" si="7"/>
        <v>4</v>
      </c>
      <c r="H197" s="19">
        <f t="shared" si="8"/>
        <v>5</v>
      </c>
      <c r="I197" s="19">
        <f t="shared" si="9"/>
        <v>2</v>
      </c>
    </row>
  </sheetData>
  <mergeCells count="5">
    <mergeCell ref="D162:I162"/>
    <mergeCell ref="D168:I168"/>
    <mergeCell ref="D172:I172"/>
    <mergeCell ref="D96:I96"/>
    <mergeCell ref="A96:C96"/>
  </mergeCells>
  <phoneticPr fontId="2" type="noConversion"/>
  <pageMargins left="0.43307086614173229" right="0.23622047244094491" top="0.74803149606299213" bottom="0.74803149606299213" header="0.31496062992125984" footer="0.31496062992125984"/>
  <pageSetup paperSize="9" orientation="landscape" r:id="rId1"/>
  <headerFooter>
    <oddHeader>&amp;C&amp;A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Grading 1</vt:lpstr>
      <vt:lpstr>Grading 2</vt:lpstr>
      <vt:lpstr>Ladder</vt:lpstr>
      <vt:lpstr>Best and Fairest</vt:lpstr>
      <vt:lpstr>A Grade</vt:lpstr>
      <vt:lpstr>B Grade</vt:lpstr>
      <vt:lpstr>C Grade</vt:lpstr>
      <vt:lpstr>Ladies</vt:lpstr>
      <vt:lpstr>Mens short</vt:lpstr>
      <vt:lpstr>Ladies 7 team</vt:lpstr>
      <vt:lpstr>Finals</vt:lpstr>
      <vt:lpstr>5 Team draw</vt:lpstr>
      <vt:lpstr>9 and 10 team draw</vt:lpstr>
      <vt:lpstr>6 team draw</vt:lpstr>
      <vt:lpstr>7 team draw</vt:lpstr>
      <vt:lpstr>8 and 8 draw</vt:lpstr>
      <vt:lpstr>8 and 10 team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HUGGETT, Rebecca</dc:creator>
  <cp:lastModifiedBy>HUGGETT, Rebecca (rhugg6)</cp:lastModifiedBy>
  <cp:lastPrinted>2025-10-16T00:34:39Z</cp:lastPrinted>
  <dcterms:created xsi:type="dcterms:W3CDTF">2023-02-06T04:02:10Z</dcterms:created>
  <dcterms:modified xsi:type="dcterms:W3CDTF">2025-12-01T10:32:11Z</dcterms:modified>
</cp:coreProperties>
</file>